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hul kumar\Desktop\ASSINMENT\Module 2\"/>
    </mc:Choice>
  </mc:AlternateContent>
  <xr:revisionPtr revIDLastSave="0" documentId="8_{435E0EB1-912C-4FF9-8581-20117AB88B92}" xr6:coauthVersionLast="47" xr6:coauthVersionMax="47" xr10:uidLastSave="{00000000-0000-0000-0000-000000000000}"/>
  <bookViews>
    <workbookView xWindow="-108" yWindow="-108" windowWidth="23256" windowHeight="12456" activeTab="9" xr2:uid="{D3E1FAFF-F9D0-4EA9-A844-8A774348EBD4}"/>
  </bookViews>
  <sheets>
    <sheet name="Q.1" sheetId="11" r:id="rId1"/>
    <sheet name="Q.2" sheetId="5" r:id="rId2"/>
    <sheet name="Q.3" sheetId="6" r:id="rId3"/>
    <sheet name="Q.4" sheetId="7" r:id="rId4"/>
    <sheet name="Q.5" sheetId="8" r:id="rId5"/>
    <sheet name="Q.6" sheetId="9" r:id="rId6"/>
    <sheet name="Q.7" sheetId="10" r:id="rId7"/>
    <sheet name="Q.8" sheetId="4" r:id="rId8"/>
    <sheet name="Q.9" sheetId="3" r:id="rId9"/>
    <sheet name="Q.10" sheetId="2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" i="9" l="1"/>
  <c r="D19" i="9"/>
  <c r="F19" i="9" s="1"/>
  <c r="E18" i="9"/>
  <c r="D18" i="9"/>
  <c r="F18" i="9" s="1"/>
  <c r="E17" i="9"/>
  <c r="D17" i="9"/>
  <c r="F17" i="9" s="1"/>
  <c r="C13" i="9"/>
  <c r="E16" i="9" s="1"/>
  <c r="C12" i="9"/>
  <c r="D16" i="9" s="1"/>
  <c r="F16" i="9" s="1"/>
  <c r="C22" i="9" s="1"/>
  <c r="C23" i="9" s="1"/>
  <c r="C22" i="10"/>
  <c r="C21" i="10"/>
  <c r="C19" i="10"/>
  <c r="E12" i="10" s="1"/>
  <c r="C18" i="10"/>
  <c r="D13" i="10" s="1"/>
  <c r="E15" i="10"/>
  <c r="D15" i="10"/>
  <c r="F15" i="10" s="1"/>
  <c r="E14" i="10"/>
  <c r="D14" i="10"/>
  <c r="F14" i="10" s="1"/>
  <c r="E11" i="10"/>
  <c r="D11" i="10"/>
  <c r="F11" i="10" s="1"/>
  <c r="D10" i="4"/>
  <c r="C28" i="2"/>
  <c r="C27" i="2"/>
  <c r="D22" i="2"/>
  <c r="E21" i="2"/>
  <c r="D21" i="2"/>
  <c r="F21" i="2" s="1"/>
  <c r="C16" i="2"/>
  <c r="E23" i="2" s="1"/>
  <c r="C15" i="2"/>
  <c r="D19" i="2" s="1"/>
  <c r="D12" i="10" l="1"/>
  <c r="F12" i="10" s="1"/>
  <c r="E13" i="10"/>
  <c r="F13" i="10" s="1"/>
  <c r="E22" i="2"/>
  <c r="F22" i="2" s="1"/>
  <c r="D23" i="2"/>
  <c r="F23" i="2" s="1"/>
  <c r="E19" i="2"/>
  <c r="F19" i="2" s="1"/>
  <c r="D20" i="2"/>
  <c r="E20" i="2"/>
  <c r="C20" i="10" l="1"/>
  <c r="C27" i="10" s="1"/>
  <c r="C26" i="2"/>
  <c r="F20" i="2"/>
</calcChain>
</file>

<file path=xl/sharedStrings.xml><?xml version="1.0" encoding="utf-8"?>
<sst xmlns="http://schemas.openxmlformats.org/spreadsheetml/2006/main" count="191" uniqueCount="139">
  <si>
    <t>Q1</t>
  </si>
  <si>
    <t>Define Covariance and explain how it differs from Correlation in terms of scale and interpretation.</t>
  </si>
  <si>
    <t>Ans</t>
  </si>
  <si>
    <t>Covariance</t>
  </si>
  <si>
    <t>Covariance measures the direction of the relationship between two variables—that is, whether they move together or opposite to each other.</t>
  </si>
  <si>
    <t>Interpretation</t>
  </si>
  <si>
    <t>•</t>
  </si>
  <si>
    <t>Correlation</t>
  </si>
  <si>
    <t>• Values range from −1 to +1</t>
  </si>
  <si>
    <t>Q2</t>
  </si>
  <si>
    <t>What does a positive, negative, and zero covariance indicate about the relationship between two variables?</t>
  </si>
  <si>
    <t>Covariance Value</t>
  </si>
  <si>
    <t>Relationship Indicated</t>
  </si>
  <si>
    <t>Positive (&gt; 0)</t>
  </si>
  <si>
    <t>Move together (same direction)</t>
  </si>
  <si>
    <t>Negative (&lt; 0)</t>
  </si>
  <si>
    <t>Move opposite (inverse relationship)</t>
  </si>
  <si>
    <t>Zero (≈ 0)</t>
  </si>
  <si>
    <t>No linear relationship</t>
  </si>
  <si>
    <t>Q3</t>
  </si>
  <si>
    <t>Discuss the limitations of covariance as a measure of relationship between two variables. Why is correlation preferred in many cases?</t>
  </si>
  <si>
    <t>Limitations of Covariance</t>
  </si>
  <si>
    <t>1. Depends on Units (Scale Problem)</t>
  </si>
  <si>
    <t>Changing units (e.g., meters to centimeters) changes the covariance value.</t>
  </si>
  <si>
    <t>2. Difficult to Interpret</t>
  </si>
  <si>
    <t>3. Not Comparable Across Datasets</t>
  </si>
  <si>
    <t>4. No Fixed Range</t>
  </si>
  <si>
    <t>Because there is no upper or lower bound, interpretation becomes unclear.</t>
  </si>
  <si>
    <t>5. Limited Practical Use</t>
  </si>
  <si>
    <t>Rarely used alone for decision-making.</t>
  </si>
  <si>
    <t>Correlation is prefered in many cases because:-</t>
  </si>
  <si>
    <t>• Unit-Free (Standardized)</t>
  </si>
  <si>
    <t>• Easy to Interpret</t>
  </si>
  <si>
    <t>• Comparable Across Studies</t>
  </si>
  <si>
    <t>• Measures Strength and Direction</t>
  </si>
  <si>
    <t>Q4</t>
  </si>
  <si>
    <t>Explain the difference between Pearson’s correlation coefficient and Spearman’s rank correlation coefficient. When would you prefer to use Spearman’s correlation?</t>
  </si>
  <si>
    <t>Aspect</t>
  </si>
  <si>
    <t>Pearson’s Correlation</t>
  </si>
  <si>
    <t>Spearman’s Correlation</t>
  </si>
  <si>
    <t>Type of relationship</t>
  </si>
  <si>
    <t>Linear</t>
  </si>
  <si>
    <t>Monotonic (not necessarily linear)</t>
  </si>
  <si>
    <t>Data used</t>
  </si>
  <si>
    <t>Actual values</t>
  </si>
  <si>
    <t>Ranks</t>
  </si>
  <si>
    <t>Data requirement</t>
  </si>
  <si>
    <t>Interval/ratio</t>
  </si>
  <si>
    <t>Ordinal or continuous</t>
  </si>
  <si>
    <t>Distribution assumption</t>
  </si>
  <si>
    <t>Normality assumed</t>
  </si>
  <si>
    <t>No normality assumption</t>
  </si>
  <si>
    <t>Effect of outliers</t>
  </si>
  <si>
    <t>Highly sensitive</t>
  </si>
  <si>
    <t>Less sensitive</t>
  </si>
  <si>
    <t>Nature</t>
  </si>
  <si>
    <t>Parametric</t>
  </si>
  <si>
    <t>Non-parametric</t>
  </si>
  <si>
    <t>When to Prefer Spearman’s Correlation</t>
  </si>
  <si>
    <t xml:space="preserve">• </t>
  </si>
  <si>
    <t>• Data is ordinal (ranks, ratings, preferences)</t>
  </si>
  <si>
    <t>• Relationship is monotonic but not linear</t>
  </si>
  <si>
    <t>• Data contains outliers</t>
  </si>
  <si>
    <t>• Normality assumption is violated</t>
  </si>
  <si>
    <t>• Sample size is small</t>
  </si>
  <si>
    <t>Q5</t>
  </si>
  <si>
    <t>If the correlation coefficient between two variables X and Y is 0.85, interpret this value in context. Can you infer causation from this value? Why or why not?</t>
  </si>
  <si>
    <t>A correlation coefficient of 0.85 indicates a strong positive linear relationship between X and Y, meaning that higher values of X are associated with higher values of Y. However, this does not imply causation because correlation only measures association and does not account for direction of influence, third variables, or coincidence.</t>
  </si>
  <si>
    <t>Q6</t>
  </si>
  <si>
    <t>Using the dataset below, calculate the covariance between X and Y.</t>
  </si>
  <si>
    <t>X</t>
  </si>
  <si>
    <t>Y</t>
  </si>
  <si>
    <t>No. of observations  n=</t>
  </si>
  <si>
    <t>Yˉ=</t>
  </si>
  <si>
    <t xml:space="preserve">Xˉ= </t>
  </si>
  <si>
    <t>X−Xˉ</t>
  </si>
  <si>
    <t>Y−Yˉ</t>
  </si>
  <si>
    <t>(X−Xˉ)(Y−Yˉ)</t>
  </si>
  <si>
    <t>Sum of products =</t>
  </si>
  <si>
    <t xml:space="preserve">Sample covariance = </t>
  </si>
  <si>
    <t>Q7</t>
  </si>
  <si>
    <t>Compute the Pearson correlation coefficient between variables A and B:</t>
  </si>
  <si>
    <t>A</t>
  </si>
  <si>
    <t>B</t>
  </si>
  <si>
    <t>A- Mean of A</t>
  </si>
  <si>
    <t>B- Mean of B</t>
  </si>
  <si>
    <t>Product</t>
  </si>
  <si>
    <t>Mean of A=</t>
  </si>
  <si>
    <t>Mean of B=</t>
  </si>
  <si>
    <t>Sum of Products =</t>
  </si>
  <si>
    <t>σA​=∑(A−Aˉ)2​=</t>
  </si>
  <si>
    <t>σB​=∑(B−Bˉ)2=</t>
  </si>
  <si>
    <t>Pearson correlation formula</t>
  </si>
  <si>
    <t>r=</t>
  </si>
  <si>
    <t>Q8</t>
  </si>
  <si>
    <t>The following table shows heights (in cm) and weights (in kg) of 5 students.</t>
  </si>
  <si>
    <t>Find the correlation coefficient between Height and Weight.</t>
  </si>
  <si>
    <t>Height</t>
  </si>
  <si>
    <t>Weight</t>
  </si>
  <si>
    <t>Correlation coefficient between Height and Weight</t>
  </si>
  <si>
    <t>Q9</t>
  </si>
  <si>
    <t>Given the dataset below, determine whether there is a positive or negative correlation between X and Y.</t>
  </si>
  <si>
    <t>(No need for exact calculation, just reasoning.)</t>
  </si>
  <si>
    <t>As X increases from 1 → 5</t>
  </si>
  <si>
    <t>So there is a negative correlation between X and Y.</t>
  </si>
  <si>
    <t>Y consistently decreases from 15 → 3</t>
  </si>
  <si>
    <t>This means the two variables move in opposite directions.</t>
  </si>
  <si>
    <t>Q10</t>
  </si>
  <si>
    <t xml:space="preserve"> Two investment portfolios have the following returns (%) over 5 years. Compute the covariance and
correlation coefficient, and interpret whether the portfolios move together.</t>
  </si>
  <si>
    <t>Year A</t>
  </si>
  <si>
    <t>Portfolio A</t>
  </si>
  <si>
    <t>Portfolio B</t>
  </si>
  <si>
    <t>Aˉ=</t>
  </si>
  <si>
    <t xml:space="preserve">Bˉ= </t>
  </si>
  <si>
    <t>n=5</t>
  </si>
  <si>
    <t>A−Aˉ</t>
  </si>
  <si>
    <t>B−Bˉ</t>
  </si>
  <si>
    <t>Sum of product=</t>
  </si>
  <si>
    <t>Covariance=</t>
  </si>
  <si>
    <t>Correlation=</t>
  </si>
  <si>
    <r>
      <t>Covariance = 3 (positive)</t>
    </r>
    <r>
      <rPr>
        <sz val="11"/>
        <color theme="1"/>
        <rFont val="Calibri"/>
        <family val="2"/>
        <scheme val="minor"/>
      </rPr>
      <t xml:space="preserve"> → Portfolio A and B move in the </t>
    </r>
    <r>
      <rPr>
        <b/>
        <sz val="11"/>
        <color theme="1"/>
        <rFont val="Calibri"/>
        <family val="2"/>
        <scheme val="minor"/>
      </rPr>
      <t>same direction</t>
    </r>
    <r>
      <rPr>
        <sz val="11"/>
        <color theme="1"/>
        <rFont val="Calibri"/>
        <family val="2"/>
        <scheme val="minor"/>
      </rPr>
      <t>.</t>
    </r>
  </si>
  <si>
    <r>
      <t>Correlation ≈ 0.99</t>
    </r>
    <r>
      <rPr>
        <sz val="11"/>
        <color theme="1"/>
        <rFont val="Calibri"/>
        <family val="2"/>
        <scheme val="minor"/>
      </rPr>
      <t xml:space="preserve"> → There is a </t>
    </r>
    <r>
      <rPr>
        <b/>
        <sz val="11"/>
        <color theme="1"/>
        <rFont val="Calibri"/>
        <family val="2"/>
        <scheme val="minor"/>
      </rPr>
      <t>very strong positive relationship</t>
    </r>
    <r>
      <rPr>
        <sz val="11"/>
        <color theme="1"/>
        <rFont val="Calibri"/>
        <family val="2"/>
        <scheme val="minor"/>
      </rPr>
      <t>.</t>
    </r>
  </si>
  <si>
    <r>
      <t xml:space="preserve">The portfolios </t>
    </r>
    <r>
      <rPr>
        <b/>
        <sz val="11"/>
        <color theme="1"/>
        <rFont val="Calibri"/>
        <family val="2"/>
        <scheme val="minor"/>
      </rPr>
      <t>strongly move together</t>
    </r>
    <r>
      <rPr>
        <sz val="11"/>
        <color theme="1"/>
        <rFont val="Calibri"/>
        <family val="2"/>
        <scheme val="minor"/>
      </rPr>
      <t xml:space="preserve"> over the 5-year period.</t>
    </r>
  </si>
  <si>
    <t xml:space="preserve"> </t>
  </si>
  <si>
    <r>
      <t>Positive covariance</t>
    </r>
    <r>
      <rPr>
        <sz val="12"/>
        <color theme="1"/>
        <rFont val="Calibri"/>
        <family val="2"/>
        <scheme val="minor"/>
      </rPr>
      <t xml:space="preserve"> → when X increases, Y tends to increase</t>
    </r>
  </si>
  <si>
    <r>
      <t>Negative covariance</t>
    </r>
    <r>
      <rPr>
        <sz val="12"/>
        <color theme="1"/>
        <rFont val="Calibri"/>
        <family val="2"/>
        <scheme val="minor"/>
      </rPr>
      <t xml:space="preserve"> → when X increases, Y tends to decrease</t>
    </r>
  </si>
  <si>
    <r>
      <t>Zero covariance</t>
    </r>
    <r>
      <rPr>
        <sz val="12"/>
        <color theme="1"/>
        <rFont val="Calibri"/>
        <family val="2"/>
        <scheme val="minor"/>
      </rPr>
      <t xml:space="preserve"> → no linear relationship</t>
    </r>
  </si>
  <si>
    <r>
      <t>Correlation</t>
    </r>
    <r>
      <rPr>
        <sz val="12"/>
        <color theme="1"/>
        <rFont val="Calibri"/>
        <family val="2"/>
        <scheme val="minor"/>
      </rPr>
      <t xml:space="preserve"> measures </t>
    </r>
    <r>
      <rPr>
        <b/>
        <sz val="12"/>
        <color theme="1"/>
        <rFont val="Calibri"/>
        <family val="2"/>
        <scheme val="minor"/>
      </rPr>
      <t>both the direction and strength</t>
    </r>
    <r>
      <rPr>
        <sz val="12"/>
        <color theme="1"/>
        <rFont val="Calibri"/>
        <family val="2"/>
        <scheme val="minor"/>
      </rPr>
      <t xml:space="preserve"> of the linear relationship between two variables.</t>
    </r>
  </si>
  <si>
    <r>
      <t>+1</t>
    </r>
    <r>
      <rPr>
        <sz val="12"/>
        <color theme="1"/>
        <rFont val="Calibri"/>
        <family val="2"/>
        <scheme val="minor"/>
      </rPr>
      <t xml:space="preserve"> → perfect positive relationship</t>
    </r>
  </si>
  <si>
    <r>
      <t>−1</t>
    </r>
    <r>
      <rPr>
        <sz val="12"/>
        <color theme="1"/>
        <rFont val="Calibri"/>
        <family val="2"/>
        <scheme val="minor"/>
      </rPr>
      <t xml:space="preserve"> → perfect negative relationship</t>
    </r>
  </si>
  <si>
    <r>
      <t>0</t>
    </r>
    <r>
      <rPr>
        <sz val="12"/>
        <color theme="1"/>
        <rFont val="Calibri"/>
        <family val="2"/>
        <scheme val="minor"/>
      </rPr>
      <t xml:space="preserve"> → no linear relationship</t>
    </r>
  </si>
  <si>
    <r>
      <t xml:space="preserve">Covariance is affected by the </t>
    </r>
    <r>
      <rPr>
        <b/>
        <sz val="12"/>
        <color theme="1"/>
        <rFont val="Calibri"/>
        <family val="2"/>
        <scheme val="minor"/>
      </rPr>
      <t>measurement units</t>
    </r>
    <r>
      <rPr>
        <sz val="12"/>
        <color theme="1"/>
        <rFont val="Calibri"/>
        <family val="2"/>
        <scheme val="minor"/>
      </rPr>
      <t xml:space="preserve"> of the variables.</t>
    </r>
  </si>
  <si>
    <r>
      <t xml:space="preserve">A covariance value like </t>
    </r>
    <r>
      <rPr>
        <b/>
        <sz val="12"/>
        <color theme="1"/>
        <rFont val="Calibri"/>
        <family val="2"/>
        <scheme val="minor"/>
      </rPr>
      <t>1200 or −45</t>
    </r>
    <r>
      <rPr>
        <sz val="12"/>
        <color theme="1"/>
        <rFont val="Calibri"/>
        <family val="2"/>
        <scheme val="minor"/>
      </rPr>
      <t xml:space="preserve"> doesn’t clearly tell </t>
    </r>
    <r>
      <rPr>
        <b/>
        <sz val="12"/>
        <color theme="1"/>
        <rFont val="Calibri"/>
        <family val="2"/>
        <scheme val="minor"/>
      </rPr>
      <t>how strong</t>
    </r>
    <r>
      <rPr>
        <sz val="12"/>
        <color theme="1"/>
        <rFont val="Calibri"/>
        <family val="2"/>
        <scheme val="minor"/>
      </rPr>
      <t xml:space="preserve"> the relationship is.</t>
    </r>
  </si>
  <si>
    <r>
      <t xml:space="preserve">You can only tell the </t>
    </r>
    <r>
      <rPr>
        <b/>
        <sz val="12"/>
        <color theme="1"/>
        <rFont val="Calibri"/>
        <family val="2"/>
        <scheme val="minor"/>
      </rPr>
      <t>direction</t>
    </r>
    <r>
      <rPr>
        <sz val="12"/>
        <color theme="1"/>
        <rFont val="Calibri"/>
        <family val="2"/>
        <scheme val="minor"/>
      </rPr>
      <t>, not the intensity.</t>
    </r>
  </si>
  <si>
    <r>
      <t xml:space="preserve">Covariance values from different datasets </t>
    </r>
    <r>
      <rPr>
        <b/>
        <sz val="12"/>
        <color theme="1"/>
        <rFont val="Calibri"/>
        <family val="2"/>
        <scheme val="minor"/>
      </rPr>
      <t>cannot be compared</t>
    </r>
    <r>
      <rPr>
        <sz val="12"/>
        <color theme="1"/>
        <rFont val="Calibri"/>
        <family val="2"/>
        <scheme val="minor"/>
      </rPr>
      <t>.</t>
    </r>
  </si>
  <si>
    <r>
      <t xml:space="preserve">A higher covariance does </t>
    </r>
    <r>
      <rPr>
        <b/>
        <sz val="12"/>
        <color theme="1"/>
        <rFont val="Calibri"/>
        <family val="2"/>
        <scheme val="minor"/>
      </rPr>
      <t>not necessarily</t>
    </r>
    <r>
      <rPr>
        <sz val="12"/>
        <color theme="1"/>
        <rFont val="Calibri"/>
        <family val="2"/>
        <scheme val="minor"/>
      </rPr>
      <t xml:space="preserve"> mean a stronger relationship.</t>
    </r>
  </si>
  <si>
    <r>
      <t xml:space="preserve">Covariance ranges from </t>
    </r>
    <r>
      <rPr>
        <b/>
        <sz val="12"/>
        <color theme="1"/>
        <rFont val="Calibri"/>
        <family val="2"/>
        <scheme val="minor"/>
      </rPr>
      <t>−∞ to +∞</t>
    </r>
    <r>
      <rPr>
        <sz val="12"/>
        <color theme="1"/>
        <rFont val="Calibri"/>
        <family val="2"/>
        <scheme val="minor"/>
      </rPr>
      <t>.</t>
    </r>
  </si>
  <si>
    <r>
      <t xml:space="preserve">Mainly used as an </t>
    </r>
    <r>
      <rPr>
        <b/>
        <sz val="12"/>
        <color theme="1"/>
        <rFont val="Calibri"/>
        <family val="2"/>
        <scheme val="minor"/>
      </rPr>
      <t>intermediate step</t>
    </r>
    <r>
      <rPr>
        <sz val="12"/>
        <color theme="1"/>
        <rFont val="Calibri"/>
        <family val="2"/>
        <scheme val="minor"/>
      </rPr>
      <t xml:space="preserve"> in calculating correlation.</t>
    </r>
  </si>
  <si>
    <r>
      <t>Cov(</t>
    </r>
    <r>
      <rPr>
        <b/>
        <i/>
        <sz val="12"/>
        <color theme="1"/>
        <rFont val="Calibri"/>
        <family val="2"/>
        <scheme val="minor"/>
      </rPr>
      <t>X,Y</t>
    </r>
    <r>
      <rPr>
        <b/>
        <sz val="12"/>
        <color theme="1"/>
        <rFont val="Calibri"/>
        <family val="2"/>
        <scheme val="minor"/>
      </rPr>
      <t>)= 6.33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</si>
</sst>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2" borderId="0" xfId="0" applyFont="1" applyFill="1"/>
    <xf numFmtId="0" fontId="0" fillId="2" borderId="0" xfId="0" applyFill="1"/>
    <xf numFmtId="0" fontId="1" fillId="2" borderId="0" xfId="0" applyFont="1" applyFill="1" applyAlignment="1">
      <alignment horizontal="left" vertical="top" wrapText="1"/>
    </xf>
    <xf numFmtId="0" fontId="1" fillId="3" borderId="0" xfId="0" applyFont="1" applyFill="1"/>
    <xf numFmtId="0" fontId="2" fillId="3" borderId="0" xfId="0" applyFont="1" applyFill="1"/>
    <xf numFmtId="0" fontId="0" fillId="3" borderId="0" xfId="0" applyFill="1"/>
    <xf numFmtId="0" fontId="0" fillId="3" borderId="0" xfId="0" applyFill="1" applyAlignment="1">
      <alignment horizontal="left" vertical="top" wrapText="1"/>
    </xf>
    <xf numFmtId="0" fontId="0" fillId="3" borderId="0" xfId="0" applyFill="1" applyAlignment="1">
      <alignment horizontal="right"/>
    </xf>
    <xf numFmtId="0" fontId="3" fillId="0" borderId="0" xfId="0" applyFont="1"/>
    <xf numFmtId="0" fontId="4" fillId="2" borderId="0" xfId="0" applyFont="1" applyFill="1"/>
    <xf numFmtId="0" fontId="4" fillId="3" borderId="0" xfId="0" applyFont="1" applyFill="1"/>
    <xf numFmtId="0" fontId="5" fillId="3" borderId="0" xfId="0" applyFont="1" applyFill="1"/>
    <xf numFmtId="0" fontId="3" fillId="3" borderId="0" xfId="0" applyFont="1" applyFill="1"/>
    <xf numFmtId="0" fontId="3" fillId="3" borderId="0" xfId="0" applyFont="1" applyFill="1" applyAlignment="1">
      <alignment horizontal="left" vertical="top" wrapText="1"/>
    </xf>
    <xf numFmtId="0" fontId="3" fillId="3" borderId="0" xfId="0" applyFont="1" applyFill="1" applyAlignment="1">
      <alignment horizontal="right"/>
    </xf>
    <xf numFmtId="0" fontId="5" fillId="3" borderId="0" xfId="0" applyFont="1" applyFill="1" applyAlignment="1">
      <alignment vertical="center"/>
    </xf>
    <xf numFmtId="0" fontId="4" fillId="4" borderId="0" xfId="0" applyFont="1" applyFill="1"/>
    <xf numFmtId="0" fontId="3" fillId="4" borderId="0" xfId="0" applyFont="1" applyFill="1"/>
    <xf numFmtId="0" fontId="3" fillId="2" borderId="0" xfId="0" applyFont="1" applyFill="1"/>
    <xf numFmtId="0" fontId="3" fillId="3" borderId="0" xfId="0" applyFont="1" applyFill="1" applyAlignment="1">
      <alignment vertical="top"/>
    </xf>
    <xf numFmtId="0" fontId="3" fillId="3" borderId="0" xfId="0" applyFont="1" applyFill="1" applyAlignment="1">
      <alignment horizontal="left" vertical="center" indent="1"/>
    </xf>
    <xf numFmtId="0" fontId="4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left" vertical="top" wrapText="1"/>
    </xf>
    <xf numFmtId="0" fontId="3" fillId="0" borderId="0" xfId="0" applyFont="1" applyAlignment="1">
      <alignment wrapText="1"/>
    </xf>
    <xf numFmtId="0" fontId="4" fillId="3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wrapText="1"/>
    </xf>
    <xf numFmtId="0" fontId="4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0" fillId="3" borderId="0" xfId="0" applyFill="1" applyAlignment="1">
      <alignment horizontal="left"/>
    </xf>
    <xf numFmtId="0" fontId="1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2" fontId="0" fillId="3" borderId="0" xfId="0" applyNumberFormat="1" applyFill="1" applyAlignment="1">
      <alignment horizontal="left"/>
    </xf>
    <xf numFmtId="0" fontId="3" fillId="0" borderId="1" xfId="0" applyFont="1" applyBorder="1" applyAlignment="1">
      <alignment horizontal="right"/>
    </xf>
    <xf numFmtId="0" fontId="3" fillId="0" borderId="1" xfId="0" applyFont="1" applyBorder="1" applyAlignment="1">
      <alignment horizontal="left"/>
    </xf>
    <xf numFmtId="0" fontId="3" fillId="3" borderId="0" xfId="0" applyFont="1" applyFill="1" applyAlignment="1">
      <alignment vertical="center"/>
    </xf>
    <xf numFmtId="0" fontId="3" fillId="3" borderId="0" xfId="0" applyFont="1" applyFill="1" applyAlignment="1">
      <alignment horizontal="left"/>
    </xf>
    <xf numFmtId="0" fontId="3" fillId="3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2" fontId="3" fillId="3" borderId="0" xfId="0" applyNumberFormat="1" applyFont="1" applyFill="1" applyAlignment="1">
      <alignment horizontal="left"/>
    </xf>
    <xf numFmtId="0" fontId="1" fillId="3" borderId="0" xfId="0" applyFont="1" applyFill="1" applyAlignment="1">
      <alignment horizontal="right"/>
    </xf>
    <xf numFmtId="0" fontId="1" fillId="3" borderId="0" xfId="0" applyFont="1" applyFill="1" applyAlignment="1">
      <alignment horizontal="left"/>
    </xf>
    <xf numFmtId="0" fontId="1" fillId="3" borderId="0" xfId="0" applyFont="1" applyFill="1" applyAlignment="1">
      <alignment horizontal="left" wrapText="1"/>
    </xf>
    <xf numFmtId="2" fontId="1" fillId="3" borderId="0" xfId="0" applyNumberFormat="1" applyFont="1" applyFill="1" applyAlignment="1">
      <alignment horizontal="left"/>
    </xf>
    <xf numFmtId="0" fontId="2" fillId="3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419100</xdr:colOff>
      <xdr:row>0</xdr:row>
      <xdr:rowOff>121920</xdr:rowOff>
    </xdr:from>
    <xdr:ext cx="1439881" cy="342786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D3A8D6A-F86C-4532-88E1-53E56AAED844}"/>
            </a:ext>
          </a:extLst>
        </xdr:cNvPr>
        <xdr:cNvSpPr txBox="1"/>
      </xdr:nvSpPr>
      <xdr:spPr>
        <a:xfrm>
          <a:off x="2857500" y="121920"/>
          <a:ext cx="1439881" cy="342786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6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ASSINGEMENT</a:t>
          </a:r>
          <a:endParaRPr lang="en-IN" sz="1600" b="1">
            <a:effectLst/>
          </a:endParaRPr>
        </a:p>
      </xdr:txBody>
    </xdr:sp>
    <xdr:clientData/>
  </xdr:oneCellAnchor>
  <xdr:oneCellAnchor>
    <xdr:from>
      <xdr:col>2</xdr:col>
      <xdr:colOff>1021080</xdr:colOff>
      <xdr:row>3</xdr:row>
      <xdr:rowOff>129540</xdr:rowOff>
    </xdr:from>
    <xdr:ext cx="3339184" cy="342786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C6734EA-7324-4291-B658-A81ED63E725D}"/>
            </a:ext>
          </a:extLst>
        </xdr:cNvPr>
        <xdr:cNvSpPr txBox="1"/>
      </xdr:nvSpPr>
      <xdr:spPr>
        <a:xfrm>
          <a:off x="2941320" y="678180"/>
          <a:ext cx="3339184" cy="342786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600" b="1"/>
            <a:t>Correlation and Covariance (Q.</a:t>
          </a:r>
          <a:r>
            <a:rPr lang="en-IN" sz="1600" b="1" baseline="0"/>
            <a:t> 1 -10</a:t>
          </a:r>
          <a:r>
            <a:rPr lang="en-IN" sz="1600" b="1"/>
            <a:t>)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72361-A34C-45B4-971B-B58BF3C027F3}">
  <dimension ref="A7:L26"/>
  <sheetViews>
    <sheetView showGridLines="0" topLeftCell="A6" workbookViewId="0">
      <selection activeCell="K15" sqref="K15"/>
    </sheetView>
  </sheetViews>
  <sheetFormatPr defaultRowHeight="15.6" x14ac:dyDescent="0.3"/>
  <cols>
    <col min="1" max="16384" width="8.88671875" style="14"/>
  </cols>
  <sheetData>
    <row r="7" spans="1:12" x14ac:dyDescent="0.3">
      <c r="A7" s="14" t="s">
        <v>123</v>
      </c>
    </row>
    <row r="8" spans="1:12" x14ac:dyDescent="0.3">
      <c r="A8" s="22" t="s">
        <v>0</v>
      </c>
      <c r="B8" s="22" t="s">
        <v>1</v>
      </c>
      <c r="C8" s="22"/>
      <c r="D8" s="22"/>
      <c r="E8" s="22"/>
      <c r="F8" s="22"/>
      <c r="G8" s="22"/>
      <c r="H8" s="22"/>
      <c r="I8" s="22"/>
      <c r="J8" s="22"/>
      <c r="K8" s="23"/>
      <c r="L8" s="23"/>
    </row>
    <row r="10" spans="1:12" x14ac:dyDescent="0.3">
      <c r="A10" s="16" t="s">
        <v>2</v>
      </c>
      <c r="B10" s="17" t="s">
        <v>3</v>
      </c>
      <c r="C10" s="18"/>
      <c r="D10" s="18"/>
      <c r="E10" s="18"/>
      <c r="F10" s="18"/>
      <c r="G10" s="18"/>
      <c r="H10" s="18"/>
      <c r="I10" s="18"/>
      <c r="J10" s="18"/>
      <c r="K10" s="18"/>
      <c r="L10" s="18"/>
    </row>
    <row r="11" spans="1:12" x14ac:dyDescent="0.3">
      <c r="A11" s="18"/>
      <c r="B11" s="19" t="s">
        <v>4</v>
      </c>
      <c r="C11" s="19"/>
      <c r="D11" s="19"/>
      <c r="E11" s="19"/>
      <c r="F11" s="19"/>
      <c r="G11" s="19"/>
      <c r="H11" s="19"/>
      <c r="I11" s="19"/>
      <c r="J11" s="19"/>
      <c r="K11" s="18"/>
      <c r="L11" s="18"/>
    </row>
    <row r="12" spans="1:12" x14ac:dyDescent="0.3">
      <c r="A12" s="18"/>
      <c r="B12" s="19"/>
      <c r="C12" s="19"/>
      <c r="D12" s="19"/>
      <c r="E12" s="19"/>
      <c r="F12" s="19"/>
      <c r="G12" s="19"/>
      <c r="H12" s="19"/>
      <c r="I12" s="19"/>
      <c r="J12" s="19"/>
      <c r="K12" s="18"/>
      <c r="L12" s="18"/>
    </row>
    <row r="13" spans="1:12" x14ac:dyDescent="0.3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</row>
    <row r="14" spans="1:12" x14ac:dyDescent="0.3">
      <c r="A14" s="18"/>
      <c r="B14" s="17" t="s">
        <v>5</v>
      </c>
      <c r="C14" s="18"/>
      <c r="D14" s="18"/>
      <c r="E14" s="18"/>
      <c r="F14" s="18"/>
      <c r="G14" s="18"/>
      <c r="H14" s="18"/>
      <c r="I14" s="18"/>
      <c r="J14" s="18"/>
      <c r="K14" s="18"/>
      <c r="L14" s="18"/>
    </row>
    <row r="15" spans="1:12" x14ac:dyDescent="0.3">
      <c r="A15" s="18"/>
      <c r="B15" s="20" t="s">
        <v>6</v>
      </c>
      <c r="C15" s="16" t="s">
        <v>124</v>
      </c>
      <c r="D15" s="18"/>
      <c r="E15" s="18"/>
      <c r="F15" s="18"/>
      <c r="G15" s="18"/>
      <c r="H15" s="18"/>
      <c r="I15" s="18"/>
      <c r="J15" s="18"/>
      <c r="K15" s="18"/>
      <c r="L15" s="18"/>
    </row>
    <row r="16" spans="1:12" x14ac:dyDescent="0.3">
      <c r="A16" s="18"/>
      <c r="B16" s="20" t="s">
        <v>6</v>
      </c>
      <c r="C16" s="16" t="s">
        <v>125</v>
      </c>
      <c r="D16" s="18"/>
      <c r="E16" s="18"/>
      <c r="F16" s="18"/>
      <c r="G16" s="18"/>
      <c r="H16" s="18"/>
      <c r="I16" s="18"/>
      <c r="J16" s="18"/>
      <c r="K16" s="18"/>
      <c r="L16" s="18"/>
    </row>
    <row r="17" spans="1:12" x14ac:dyDescent="0.3">
      <c r="A17" s="18"/>
      <c r="B17" s="20" t="s">
        <v>6</v>
      </c>
      <c r="C17" s="16" t="s">
        <v>126</v>
      </c>
      <c r="D17" s="18"/>
      <c r="E17" s="18"/>
      <c r="F17" s="18"/>
      <c r="G17" s="18"/>
      <c r="H17" s="18"/>
      <c r="I17" s="18"/>
      <c r="J17" s="18"/>
      <c r="K17" s="18"/>
      <c r="L17" s="18"/>
    </row>
    <row r="18" spans="1:12" x14ac:dyDescent="0.3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</row>
    <row r="19" spans="1:12" x14ac:dyDescent="0.3">
      <c r="A19" s="18"/>
      <c r="B19" s="17" t="s">
        <v>7</v>
      </c>
      <c r="C19" s="18"/>
      <c r="D19" s="18"/>
      <c r="E19" s="18"/>
      <c r="F19" s="18"/>
      <c r="G19" s="18"/>
      <c r="H19" s="18"/>
      <c r="I19" s="18"/>
      <c r="J19" s="18"/>
      <c r="K19" s="18"/>
      <c r="L19" s="18"/>
    </row>
    <row r="20" spans="1:12" x14ac:dyDescent="0.3">
      <c r="A20" s="18"/>
      <c r="B20" s="16" t="s">
        <v>127</v>
      </c>
      <c r="C20" s="18"/>
      <c r="D20" s="18"/>
      <c r="E20" s="18"/>
      <c r="F20" s="18"/>
      <c r="G20" s="18"/>
      <c r="H20" s="18"/>
      <c r="I20" s="18"/>
      <c r="J20" s="18"/>
      <c r="K20" s="18"/>
      <c r="L20" s="18"/>
    </row>
    <row r="21" spans="1:12" x14ac:dyDescent="0.3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</row>
    <row r="22" spans="1:12" x14ac:dyDescent="0.3">
      <c r="A22" s="18"/>
      <c r="B22" s="21" t="s">
        <v>5</v>
      </c>
      <c r="C22" s="18"/>
      <c r="D22" s="18"/>
      <c r="E22" s="18"/>
      <c r="F22" s="18"/>
      <c r="G22" s="18"/>
      <c r="H22" s="18"/>
      <c r="I22" s="18"/>
      <c r="J22" s="18"/>
      <c r="K22" s="18"/>
      <c r="L22" s="18"/>
    </row>
    <row r="23" spans="1:12" x14ac:dyDescent="0.3">
      <c r="A23" s="18"/>
      <c r="B23" s="18" t="s">
        <v>8</v>
      </c>
      <c r="C23" s="18"/>
      <c r="D23" s="18"/>
      <c r="E23" s="18"/>
      <c r="F23" s="18"/>
      <c r="G23" s="18"/>
      <c r="H23" s="18"/>
      <c r="I23" s="18"/>
      <c r="J23" s="18"/>
      <c r="K23" s="18"/>
      <c r="L23" s="18"/>
    </row>
    <row r="24" spans="1:12" x14ac:dyDescent="0.3">
      <c r="A24" s="18"/>
      <c r="B24" s="20" t="s">
        <v>6</v>
      </c>
      <c r="C24" s="16" t="s">
        <v>128</v>
      </c>
      <c r="D24" s="18"/>
      <c r="E24" s="18"/>
      <c r="F24" s="18"/>
      <c r="G24" s="18"/>
      <c r="H24" s="18"/>
      <c r="I24" s="18"/>
      <c r="J24" s="18"/>
      <c r="K24" s="18"/>
      <c r="L24" s="18"/>
    </row>
    <row r="25" spans="1:12" x14ac:dyDescent="0.3">
      <c r="A25" s="18"/>
      <c r="B25" s="20" t="s">
        <v>6</v>
      </c>
      <c r="C25" s="16" t="s">
        <v>129</v>
      </c>
      <c r="D25" s="18"/>
      <c r="E25" s="18"/>
      <c r="F25" s="18"/>
      <c r="G25" s="18"/>
      <c r="H25" s="18"/>
      <c r="I25" s="18"/>
      <c r="J25" s="18"/>
      <c r="K25" s="18"/>
      <c r="L25" s="18"/>
    </row>
    <row r="26" spans="1:12" x14ac:dyDescent="0.3">
      <c r="A26" s="18"/>
      <c r="B26" s="20" t="s">
        <v>6</v>
      </c>
      <c r="C26" s="16" t="s">
        <v>130</v>
      </c>
      <c r="D26" s="18"/>
      <c r="E26" s="18"/>
      <c r="F26" s="18"/>
      <c r="G26" s="18"/>
      <c r="H26" s="18"/>
      <c r="I26" s="18"/>
      <c r="J26" s="18"/>
      <c r="K26" s="18"/>
      <c r="L26" s="18"/>
    </row>
  </sheetData>
  <mergeCells count="1">
    <mergeCell ref="B11:J1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4A355-7ABE-45A3-9409-A5108BEC86D2}">
  <dimension ref="A3:H8"/>
  <sheetViews>
    <sheetView showGridLines="0" workbookViewId="0">
      <selection activeCell="C11" sqref="C11"/>
    </sheetView>
  </sheetViews>
  <sheetFormatPr defaultRowHeight="15.6" x14ac:dyDescent="0.3"/>
  <cols>
    <col min="1" max="1" width="8.88671875" style="14"/>
    <col min="2" max="2" width="20.6640625" style="14" customWidth="1"/>
    <col min="3" max="3" width="32.77734375" style="14" customWidth="1"/>
    <col min="4" max="16384" width="8.88671875" style="14"/>
  </cols>
  <sheetData>
    <row r="3" spans="1:8" x14ac:dyDescent="0.3">
      <c r="A3" s="15" t="s">
        <v>9</v>
      </c>
      <c r="B3" s="15" t="s">
        <v>10</v>
      </c>
      <c r="C3" s="15"/>
      <c r="D3" s="15"/>
      <c r="E3" s="15"/>
      <c r="F3" s="15"/>
      <c r="G3" s="15"/>
      <c r="H3" s="15"/>
    </row>
    <row r="5" spans="1:8" x14ac:dyDescent="0.3">
      <c r="A5" s="16" t="s">
        <v>2</v>
      </c>
      <c r="B5" s="27" t="s">
        <v>11</v>
      </c>
      <c r="C5" s="27" t="s">
        <v>12</v>
      </c>
    </row>
    <row r="6" spans="1:8" x14ac:dyDescent="0.3">
      <c r="A6" s="18"/>
      <c r="B6" s="28" t="s">
        <v>13</v>
      </c>
      <c r="C6" s="28" t="s">
        <v>14</v>
      </c>
    </row>
    <row r="7" spans="1:8" x14ac:dyDescent="0.3">
      <c r="A7" s="18"/>
      <c r="B7" s="28" t="s">
        <v>15</v>
      </c>
      <c r="C7" s="28" t="s">
        <v>16</v>
      </c>
    </row>
    <row r="8" spans="1:8" x14ac:dyDescent="0.3">
      <c r="A8" s="18"/>
      <c r="B8" s="28" t="s">
        <v>17</v>
      </c>
      <c r="C8" s="28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31DDC-D6ED-4827-930A-31B2A77CA56E}">
  <dimension ref="A3:N31"/>
  <sheetViews>
    <sheetView showGridLines="0" topLeftCell="A5" workbookViewId="0">
      <selection activeCell="F17" sqref="F17"/>
    </sheetView>
  </sheetViews>
  <sheetFormatPr defaultRowHeight="15.6" x14ac:dyDescent="0.3"/>
  <cols>
    <col min="1" max="8" width="8.88671875" style="14"/>
    <col min="9" max="9" width="18.109375" style="14" customWidth="1"/>
    <col min="10" max="16384" width="8.88671875" style="14"/>
  </cols>
  <sheetData>
    <row r="3" spans="1:14" x14ac:dyDescent="0.3">
      <c r="A3" s="15" t="s">
        <v>19</v>
      </c>
      <c r="B3" s="15" t="s">
        <v>20</v>
      </c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</row>
    <row r="5" spans="1:14" x14ac:dyDescent="0.3">
      <c r="A5" s="16" t="s">
        <v>2</v>
      </c>
      <c r="B5" s="17" t="s">
        <v>21</v>
      </c>
      <c r="C5" s="18"/>
      <c r="D5" s="18"/>
      <c r="E5" s="18"/>
      <c r="F5" s="18"/>
      <c r="G5" s="18"/>
      <c r="H5" s="18"/>
      <c r="I5" s="18"/>
    </row>
    <row r="6" spans="1:14" x14ac:dyDescent="0.3">
      <c r="A6" s="18"/>
      <c r="B6" s="18"/>
      <c r="C6" s="18"/>
      <c r="D6" s="18"/>
      <c r="E6" s="18"/>
      <c r="F6" s="18"/>
      <c r="G6" s="18"/>
      <c r="H6" s="18"/>
      <c r="I6" s="18"/>
    </row>
    <row r="7" spans="1:14" x14ac:dyDescent="0.3">
      <c r="A7" s="18"/>
      <c r="B7" s="17" t="s">
        <v>22</v>
      </c>
      <c r="C7" s="18"/>
      <c r="D7" s="18"/>
      <c r="E7" s="18"/>
      <c r="F7" s="18"/>
      <c r="G7" s="18"/>
      <c r="H7" s="18"/>
      <c r="I7" s="18"/>
    </row>
    <row r="8" spans="1:14" x14ac:dyDescent="0.3">
      <c r="A8" s="18"/>
      <c r="B8" s="20" t="s">
        <v>6</v>
      </c>
      <c r="C8" s="18" t="s">
        <v>131</v>
      </c>
      <c r="D8" s="18"/>
      <c r="E8" s="18"/>
      <c r="F8" s="18"/>
      <c r="G8" s="18"/>
      <c r="H8" s="18"/>
      <c r="I8" s="18"/>
    </row>
    <row r="9" spans="1:14" x14ac:dyDescent="0.3">
      <c r="A9" s="18"/>
      <c r="B9" s="20" t="s">
        <v>6</v>
      </c>
      <c r="C9" s="18" t="s">
        <v>23</v>
      </c>
      <c r="D9" s="18"/>
      <c r="E9" s="18"/>
      <c r="F9" s="18"/>
      <c r="G9" s="18"/>
      <c r="H9" s="18"/>
      <c r="I9" s="18"/>
    </row>
    <row r="10" spans="1:14" x14ac:dyDescent="0.3">
      <c r="A10" s="18"/>
      <c r="B10" s="18"/>
      <c r="C10" s="18"/>
      <c r="D10" s="18"/>
      <c r="E10" s="18"/>
      <c r="F10" s="18"/>
      <c r="G10" s="18"/>
      <c r="H10" s="18"/>
      <c r="I10" s="18"/>
    </row>
    <row r="11" spans="1:14" x14ac:dyDescent="0.3">
      <c r="A11" s="18"/>
      <c r="B11" s="17" t="s">
        <v>24</v>
      </c>
      <c r="C11" s="18"/>
      <c r="D11" s="18"/>
      <c r="E11" s="18"/>
      <c r="F11" s="18"/>
      <c r="G11" s="18"/>
      <c r="H11" s="18"/>
      <c r="I11" s="18"/>
    </row>
    <row r="12" spans="1:14" x14ac:dyDescent="0.3">
      <c r="A12" s="18"/>
      <c r="B12" s="20" t="s">
        <v>6</v>
      </c>
      <c r="C12" s="18" t="s">
        <v>132</v>
      </c>
      <c r="D12" s="18"/>
      <c r="E12" s="18"/>
      <c r="F12" s="18"/>
      <c r="G12" s="18"/>
      <c r="H12" s="18"/>
      <c r="I12" s="18"/>
    </row>
    <row r="13" spans="1:14" x14ac:dyDescent="0.3">
      <c r="A13" s="18"/>
      <c r="B13" s="20" t="s">
        <v>6</v>
      </c>
      <c r="C13" s="25" t="s">
        <v>133</v>
      </c>
      <c r="D13" s="18"/>
      <c r="E13" s="18"/>
      <c r="F13" s="18"/>
      <c r="G13" s="18"/>
      <c r="H13" s="18"/>
      <c r="I13" s="18"/>
    </row>
    <row r="14" spans="1:14" x14ac:dyDescent="0.3">
      <c r="A14" s="18"/>
      <c r="B14" s="18"/>
      <c r="C14" s="18"/>
      <c r="D14" s="18"/>
      <c r="E14" s="18"/>
      <c r="F14" s="18"/>
      <c r="G14" s="18"/>
      <c r="H14" s="18"/>
      <c r="I14" s="18"/>
    </row>
    <row r="15" spans="1:14" x14ac:dyDescent="0.3">
      <c r="A15" s="18"/>
      <c r="B15" s="17" t="s">
        <v>25</v>
      </c>
      <c r="C15" s="18"/>
      <c r="D15" s="18"/>
      <c r="E15" s="18"/>
      <c r="F15" s="18"/>
      <c r="G15" s="18"/>
      <c r="H15" s="18"/>
      <c r="I15" s="18"/>
    </row>
    <row r="16" spans="1:14" x14ac:dyDescent="0.3">
      <c r="A16" s="18"/>
      <c r="B16" s="20" t="s">
        <v>6</v>
      </c>
      <c r="C16" s="18" t="s">
        <v>134</v>
      </c>
      <c r="D16" s="18"/>
      <c r="E16" s="18"/>
      <c r="F16" s="18"/>
      <c r="G16" s="18"/>
      <c r="H16" s="18"/>
      <c r="I16" s="18"/>
    </row>
    <row r="17" spans="1:9" x14ac:dyDescent="0.3">
      <c r="A17" s="18"/>
      <c r="B17" s="20" t="s">
        <v>6</v>
      </c>
      <c r="C17" s="26" t="s">
        <v>135</v>
      </c>
      <c r="D17" s="18"/>
      <c r="E17" s="18"/>
      <c r="F17" s="18"/>
      <c r="G17" s="18"/>
      <c r="H17" s="18"/>
      <c r="I17" s="18"/>
    </row>
    <row r="18" spans="1:9" x14ac:dyDescent="0.3">
      <c r="A18" s="18"/>
      <c r="B18" s="18"/>
      <c r="C18" s="18"/>
      <c r="D18" s="18"/>
      <c r="E18" s="18"/>
      <c r="F18" s="18"/>
      <c r="G18" s="18"/>
      <c r="H18" s="18"/>
      <c r="I18" s="18"/>
    </row>
    <row r="19" spans="1:9" x14ac:dyDescent="0.3">
      <c r="A19" s="18"/>
      <c r="B19" s="17" t="s">
        <v>26</v>
      </c>
      <c r="C19" s="18"/>
      <c r="D19" s="18"/>
      <c r="E19" s="18"/>
      <c r="F19" s="18"/>
      <c r="G19" s="18"/>
      <c r="H19" s="18"/>
      <c r="I19" s="18"/>
    </row>
    <row r="20" spans="1:9" x14ac:dyDescent="0.3">
      <c r="A20" s="18"/>
      <c r="B20" s="20" t="s">
        <v>6</v>
      </c>
      <c r="C20" s="18" t="s">
        <v>136</v>
      </c>
      <c r="D20" s="18"/>
      <c r="E20" s="18"/>
      <c r="F20" s="18"/>
      <c r="G20" s="18"/>
      <c r="H20" s="18"/>
      <c r="I20" s="18"/>
    </row>
    <row r="21" spans="1:9" x14ac:dyDescent="0.3">
      <c r="A21" s="18"/>
      <c r="B21" s="20" t="s">
        <v>6</v>
      </c>
      <c r="C21" s="18" t="s">
        <v>27</v>
      </c>
      <c r="D21" s="18"/>
      <c r="E21" s="18"/>
      <c r="F21" s="18"/>
      <c r="G21" s="18"/>
      <c r="H21" s="18"/>
      <c r="I21" s="18"/>
    </row>
    <row r="22" spans="1:9" x14ac:dyDescent="0.3">
      <c r="A22" s="18"/>
      <c r="B22" s="18"/>
      <c r="C22" s="18"/>
      <c r="D22" s="18"/>
      <c r="E22" s="18"/>
      <c r="F22" s="18"/>
      <c r="G22" s="18"/>
      <c r="H22" s="18"/>
      <c r="I22" s="18"/>
    </row>
    <row r="23" spans="1:9" x14ac:dyDescent="0.3">
      <c r="A23" s="18"/>
      <c r="B23" s="17" t="s">
        <v>28</v>
      </c>
      <c r="C23" s="18"/>
      <c r="D23" s="18"/>
      <c r="E23" s="18"/>
      <c r="F23" s="18"/>
      <c r="G23" s="18"/>
      <c r="H23" s="18"/>
      <c r="I23" s="18"/>
    </row>
    <row r="24" spans="1:9" x14ac:dyDescent="0.3">
      <c r="A24" s="18"/>
      <c r="B24" s="20" t="s">
        <v>6</v>
      </c>
      <c r="C24" s="18" t="s">
        <v>137</v>
      </c>
      <c r="D24" s="18"/>
      <c r="E24" s="18"/>
      <c r="F24" s="18"/>
      <c r="G24" s="18"/>
      <c r="H24" s="18"/>
      <c r="I24" s="18"/>
    </row>
    <row r="25" spans="1:9" x14ac:dyDescent="0.3">
      <c r="A25" s="18"/>
      <c r="B25" s="20" t="s">
        <v>6</v>
      </c>
      <c r="C25" s="26" t="s">
        <v>29</v>
      </c>
      <c r="D25" s="18"/>
      <c r="E25" s="18"/>
      <c r="F25" s="18"/>
      <c r="G25" s="18"/>
      <c r="H25" s="18"/>
      <c r="I25" s="18"/>
    </row>
    <row r="26" spans="1:9" x14ac:dyDescent="0.3">
      <c r="A26" s="18"/>
      <c r="B26" s="18"/>
      <c r="C26" s="18"/>
      <c r="D26" s="18"/>
      <c r="E26" s="18"/>
      <c r="F26" s="18"/>
      <c r="G26" s="18"/>
      <c r="H26" s="18"/>
      <c r="I26" s="18"/>
    </row>
    <row r="27" spans="1:9" x14ac:dyDescent="0.3">
      <c r="A27" s="18"/>
      <c r="B27" s="17" t="s">
        <v>30</v>
      </c>
      <c r="C27" s="18"/>
      <c r="D27" s="18"/>
      <c r="E27" s="18"/>
      <c r="F27" s="18"/>
      <c r="G27" s="18"/>
      <c r="H27" s="18"/>
      <c r="I27" s="18"/>
    </row>
    <row r="28" spans="1:9" x14ac:dyDescent="0.3">
      <c r="A28" s="18"/>
      <c r="B28" s="18" t="s">
        <v>31</v>
      </c>
      <c r="C28" s="18"/>
      <c r="D28" s="18"/>
      <c r="E28" s="18"/>
      <c r="F28" s="18"/>
      <c r="G28" s="18"/>
      <c r="H28" s="18"/>
      <c r="I28" s="18"/>
    </row>
    <row r="29" spans="1:9" x14ac:dyDescent="0.3">
      <c r="A29" s="18"/>
      <c r="B29" s="18" t="s">
        <v>32</v>
      </c>
      <c r="C29" s="18"/>
      <c r="D29" s="18"/>
      <c r="E29" s="18"/>
      <c r="F29" s="18"/>
      <c r="G29" s="18"/>
      <c r="H29" s="18"/>
      <c r="I29" s="18"/>
    </row>
    <row r="30" spans="1:9" x14ac:dyDescent="0.3">
      <c r="A30" s="18"/>
      <c r="B30" s="18" t="s">
        <v>33</v>
      </c>
      <c r="C30" s="18"/>
      <c r="D30" s="18"/>
      <c r="E30" s="18"/>
      <c r="F30" s="18"/>
      <c r="G30" s="18"/>
      <c r="H30" s="18"/>
      <c r="I30" s="18"/>
    </row>
    <row r="31" spans="1:9" x14ac:dyDescent="0.3">
      <c r="A31" s="18"/>
      <c r="B31" s="18" t="s">
        <v>34</v>
      </c>
      <c r="C31" s="18"/>
      <c r="D31" s="18"/>
      <c r="E31" s="18"/>
      <c r="F31" s="18"/>
      <c r="G31" s="18"/>
      <c r="H31" s="18"/>
      <c r="I31" s="1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E2042-C4F5-4829-A3CA-F6A4A9CB413C}">
  <dimension ref="A3:I25"/>
  <sheetViews>
    <sheetView showGridLines="0" workbookViewId="0">
      <selection activeCell="G12" sqref="G12"/>
    </sheetView>
  </sheetViews>
  <sheetFormatPr defaultRowHeight="15.6" x14ac:dyDescent="0.3"/>
  <cols>
    <col min="1" max="1" width="4.109375" style="14" bestFit="1" customWidth="1"/>
    <col min="2" max="2" width="22.77734375" style="14" customWidth="1"/>
    <col min="3" max="3" width="23.5546875" style="14" customWidth="1"/>
    <col min="4" max="4" width="30.77734375" style="14" customWidth="1"/>
    <col min="5" max="16384" width="8.88671875" style="14"/>
  </cols>
  <sheetData>
    <row r="3" spans="1:9" x14ac:dyDescent="0.3">
      <c r="A3" s="15" t="s">
        <v>35</v>
      </c>
      <c r="B3" s="29" t="s">
        <v>36</v>
      </c>
      <c r="C3" s="29"/>
      <c r="D3" s="29"/>
      <c r="E3" s="29"/>
      <c r="F3" s="29"/>
      <c r="G3" s="29"/>
      <c r="H3" s="29"/>
      <c r="I3" s="29"/>
    </row>
    <row r="4" spans="1:9" x14ac:dyDescent="0.3">
      <c r="A4" s="24"/>
      <c r="B4" s="29"/>
      <c r="C4" s="29"/>
      <c r="D4" s="29"/>
      <c r="E4" s="29"/>
      <c r="F4" s="29"/>
      <c r="G4" s="29"/>
      <c r="H4" s="29"/>
      <c r="I4" s="29"/>
    </row>
    <row r="5" spans="1:9" x14ac:dyDescent="0.3">
      <c r="B5" s="30"/>
      <c r="C5" s="30"/>
      <c r="D5" s="30"/>
    </row>
    <row r="6" spans="1:9" x14ac:dyDescent="0.3">
      <c r="A6" s="16" t="s">
        <v>2</v>
      </c>
      <c r="B6" s="31" t="s">
        <v>37</v>
      </c>
      <c r="C6" s="31" t="s">
        <v>38</v>
      </c>
      <c r="D6" s="31" t="s">
        <v>39</v>
      </c>
      <c r="E6" s="18"/>
    </row>
    <row r="7" spans="1:9" s="30" customFormat="1" ht="31.2" x14ac:dyDescent="0.3">
      <c r="A7" s="32"/>
      <c r="B7" s="33" t="s">
        <v>40</v>
      </c>
      <c r="C7" s="34" t="s">
        <v>41</v>
      </c>
      <c r="D7" s="34" t="s">
        <v>42</v>
      </c>
      <c r="E7" s="32"/>
    </row>
    <row r="8" spans="1:9" x14ac:dyDescent="0.3">
      <c r="A8" s="18"/>
      <c r="B8" s="33" t="s">
        <v>43</v>
      </c>
      <c r="C8" s="34" t="s">
        <v>44</v>
      </c>
      <c r="D8" s="34" t="s">
        <v>45</v>
      </c>
      <c r="E8" s="18"/>
    </row>
    <row r="9" spans="1:9" x14ac:dyDescent="0.3">
      <c r="A9" s="18"/>
      <c r="B9" s="33" t="s">
        <v>46</v>
      </c>
      <c r="C9" s="34" t="s">
        <v>47</v>
      </c>
      <c r="D9" s="34" t="s">
        <v>48</v>
      </c>
      <c r="E9" s="18"/>
    </row>
    <row r="10" spans="1:9" ht="31.2" x14ac:dyDescent="0.3">
      <c r="A10" s="18"/>
      <c r="B10" s="33" t="s">
        <v>49</v>
      </c>
      <c r="C10" s="34" t="s">
        <v>50</v>
      </c>
      <c r="D10" s="34" t="s">
        <v>51</v>
      </c>
      <c r="E10" s="18"/>
    </row>
    <row r="11" spans="1:9" x14ac:dyDescent="0.3">
      <c r="A11" s="18"/>
      <c r="B11" s="33" t="s">
        <v>52</v>
      </c>
      <c r="C11" s="34" t="s">
        <v>53</v>
      </c>
      <c r="D11" s="34" t="s">
        <v>54</v>
      </c>
      <c r="E11" s="18"/>
    </row>
    <row r="12" spans="1:9" x14ac:dyDescent="0.3">
      <c r="A12" s="18"/>
      <c r="B12" s="33" t="s">
        <v>55</v>
      </c>
      <c r="C12" s="34" t="s">
        <v>56</v>
      </c>
      <c r="D12" s="34" t="s">
        <v>57</v>
      </c>
      <c r="E12" s="18"/>
    </row>
    <row r="13" spans="1:9" x14ac:dyDescent="0.3">
      <c r="A13" s="18"/>
      <c r="B13" s="33" t="s">
        <v>43</v>
      </c>
      <c r="C13" s="34" t="s">
        <v>44</v>
      </c>
      <c r="D13" s="34" t="s">
        <v>45</v>
      </c>
      <c r="E13" s="18"/>
    </row>
    <row r="14" spans="1:9" x14ac:dyDescent="0.3">
      <c r="A14" s="18"/>
      <c r="B14" s="33" t="s">
        <v>46</v>
      </c>
      <c r="C14" s="34" t="s">
        <v>47</v>
      </c>
      <c r="D14" s="34" t="s">
        <v>48</v>
      </c>
      <c r="E14" s="18"/>
    </row>
    <row r="15" spans="1:9" ht="31.2" x14ac:dyDescent="0.3">
      <c r="A15" s="18"/>
      <c r="B15" s="33" t="s">
        <v>49</v>
      </c>
      <c r="C15" s="34" t="s">
        <v>50</v>
      </c>
      <c r="D15" s="34" t="s">
        <v>51</v>
      </c>
      <c r="E15" s="18"/>
    </row>
    <row r="16" spans="1:9" x14ac:dyDescent="0.3">
      <c r="A16" s="18"/>
      <c r="B16" s="33" t="s">
        <v>52</v>
      </c>
      <c r="C16" s="34" t="s">
        <v>53</v>
      </c>
      <c r="D16" s="34" t="s">
        <v>54</v>
      </c>
      <c r="E16" s="18"/>
    </row>
    <row r="17" spans="1:5" x14ac:dyDescent="0.3">
      <c r="A17" s="18"/>
      <c r="B17" s="33" t="s">
        <v>55</v>
      </c>
      <c r="C17" s="34" t="s">
        <v>56</v>
      </c>
      <c r="D17" s="34" t="s">
        <v>57</v>
      </c>
      <c r="E17" s="18"/>
    </row>
    <row r="18" spans="1:5" x14ac:dyDescent="0.3">
      <c r="A18" s="18"/>
      <c r="B18" s="18"/>
      <c r="C18" s="18"/>
      <c r="D18" s="18"/>
      <c r="E18" s="18"/>
    </row>
    <row r="19" spans="1:5" x14ac:dyDescent="0.3">
      <c r="A19" s="18"/>
      <c r="B19" s="18"/>
      <c r="C19" s="18"/>
      <c r="D19" s="18"/>
      <c r="E19" s="18"/>
    </row>
    <row r="20" spans="1:5" x14ac:dyDescent="0.3">
      <c r="A20" s="18"/>
      <c r="B20" s="17" t="s">
        <v>58</v>
      </c>
      <c r="C20" s="18"/>
      <c r="D20" s="18"/>
      <c r="E20" s="18"/>
    </row>
    <row r="21" spans="1:5" x14ac:dyDescent="0.3">
      <c r="A21" s="18"/>
      <c r="B21" s="18" t="s">
        <v>60</v>
      </c>
      <c r="C21" s="18"/>
      <c r="D21" s="18"/>
      <c r="E21" s="18"/>
    </row>
    <row r="22" spans="1:5" x14ac:dyDescent="0.3">
      <c r="A22" s="18"/>
      <c r="B22" s="18" t="s">
        <v>61</v>
      </c>
      <c r="C22" s="18"/>
      <c r="D22" s="18"/>
      <c r="E22" s="18"/>
    </row>
    <row r="23" spans="1:5" x14ac:dyDescent="0.3">
      <c r="A23" s="18"/>
      <c r="B23" s="18" t="s">
        <v>62</v>
      </c>
      <c r="C23" s="18"/>
      <c r="D23" s="18"/>
      <c r="E23" s="18"/>
    </row>
    <row r="24" spans="1:5" x14ac:dyDescent="0.3">
      <c r="A24" s="18"/>
      <c r="B24" s="18" t="s">
        <v>63</v>
      </c>
      <c r="C24" s="18"/>
      <c r="D24" s="18"/>
      <c r="E24" s="18"/>
    </row>
    <row r="25" spans="1:5" x14ac:dyDescent="0.3">
      <c r="A25" s="18"/>
      <c r="B25" s="18" t="s">
        <v>64</v>
      </c>
      <c r="C25" s="18"/>
      <c r="D25" s="18"/>
      <c r="E25" s="18"/>
    </row>
  </sheetData>
  <mergeCells count="1">
    <mergeCell ref="B3:I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84949-393A-4F3C-A193-F6113CA55FCD}">
  <dimension ref="A3:I8"/>
  <sheetViews>
    <sheetView showGridLines="0" workbookViewId="0">
      <selection activeCell="G13" sqref="G13"/>
    </sheetView>
  </sheetViews>
  <sheetFormatPr defaultRowHeight="14.4" x14ac:dyDescent="0.3"/>
  <sheetData>
    <row r="3" spans="1:9" x14ac:dyDescent="0.3">
      <c r="A3" s="6" t="s">
        <v>65</v>
      </c>
      <c r="B3" s="8" t="s">
        <v>66</v>
      </c>
      <c r="C3" s="8"/>
      <c r="D3" s="8"/>
      <c r="E3" s="8"/>
      <c r="F3" s="8"/>
      <c r="G3" s="8"/>
      <c r="H3" s="8"/>
      <c r="I3" s="8"/>
    </row>
    <row r="4" spans="1:9" x14ac:dyDescent="0.3">
      <c r="A4" s="7"/>
      <c r="B4" s="8"/>
      <c r="C4" s="8"/>
      <c r="D4" s="8"/>
      <c r="E4" s="8"/>
      <c r="F4" s="8"/>
      <c r="G4" s="8"/>
      <c r="H4" s="8"/>
      <c r="I4" s="8"/>
    </row>
    <row r="6" spans="1:9" x14ac:dyDescent="0.3">
      <c r="A6" s="9" t="s">
        <v>2</v>
      </c>
      <c r="B6" s="12" t="s">
        <v>67</v>
      </c>
      <c r="C6" s="12"/>
      <c r="D6" s="12"/>
      <c r="E6" s="12"/>
      <c r="F6" s="12"/>
      <c r="G6" s="12"/>
      <c r="H6" s="12"/>
      <c r="I6" s="12"/>
    </row>
    <row r="7" spans="1:9" x14ac:dyDescent="0.3">
      <c r="A7" s="11"/>
      <c r="B7" s="12"/>
      <c r="C7" s="12"/>
      <c r="D7" s="12"/>
      <c r="E7" s="12"/>
      <c r="F7" s="12"/>
      <c r="G7" s="12"/>
      <c r="H7" s="12"/>
      <c r="I7" s="12"/>
    </row>
    <row r="8" spans="1:9" x14ac:dyDescent="0.3">
      <c r="A8" s="11"/>
      <c r="B8" s="12"/>
      <c r="C8" s="12"/>
      <c r="D8" s="12"/>
      <c r="E8" s="12"/>
      <c r="F8" s="12"/>
      <c r="G8" s="12"/>
      <c r="H8" s="12"/>
      <c r="I8" s="12"/>
    </row>
  </sheetData>
  <mergeCells count="2">
    <mergeCell ref="B3:I4"/>
    <mergeCell ref="B6:I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4B5BF-9069-419E-9A5F-5067D25FA39F}">
  <dimension ref="A3:H25"/>
  <sheetViews>
    <sheetView showGridLines="0" workbookViewId="0">
      <selection activeCell="H13" sqref="H13"/>
    </sheetView>
  </sheetViews>
  <sheetFormatPr defaultRowHeight="15.6" x14ac:dyDescent="0.3"/>
  <cols>
    <col min="1" max="5" width="8.88671875" style="14"/>
    <col min="6" max="6" width="11.5546875" style="14" customWidth="1"/>
    <col min="7" max="16384" width="8.88671875" style="14"/>
  </cols>
  <sheetData>
    <row r="3" spans="1:8" x14ac:dyDescent="0.3">
      <c r="A3" s="15" t="s">
        <v>68</v>
      </c>
      <c r="B3" s="15" t="s">
        <v>69</v>
      </c>
      <c r="C3" s="24"/>
      <c r="D3" s="24"/>
      <c r="E3" s="24"/>
      <c r="F3" s="24"/>
      <c r="G3" s="24"/>
      <c r="H3" s="24"/>
    </row>
    <row r="5" spans="1:8" x14ac:dyDescent="0.3">
      <c r="B5" s="39" t="s">
        <v>70</v>
      </c>
      <c r="C5" s="40">
        <v>2</v>
      </c>
      <c r="D5" s="40">
        <v>4</v>
      </c>
      <c r="E5" s="40">
        <v>6</v>
      </c>
      <c r="F5" s="40">
        <v>8</v>
      </c>
    </row>
    <row r="6" spans="1:8" x14ac:dyDescent="0.3">
      <c r="B6" s="39" t="s">
        <v>71</v>
      </c>
      <c r="C6" s="40">
        <v>3</v>
      </c>
      <c r="D6" s="40">
        <v>7</v>
      </c>
      <c r="E6" s="40">
        <v>5</v>
      </c>
      <c r="F6" s="40">
        <v>10</v>
      </c>
    </row>
    <row r="9" spans="1:8" x14ac:dyDescent="0.3">
      <c r="A9" s="16" t="s">
        <v>2</v>
      </c>
      <c r="B9" s="18"/>
      <c r="C9" s="18"/>
      <c r="D9" s="18"/>
      <c r="E9" s="18"/>
      <c r="F9" s="18"/>
      <c r="G9" s="18"/>
    </row>
    <row r="10" spans="1:8" x14ac:dyDescent="0.3">
      <c r="A10" s="18"/>
      <c r="B10" s="41" t="s">
        <v>72</v>
      </c>
      <c r="C10" s="42">
        <v>4</v>
      </c>
      <c r="D10" s="18"/>
      <c r="E10" s="18"/>
      <c r="F10" s="18"/>
      <c r="G10" s="18"/>
    </row>
    <row r="11" spans="1:8" x14ac:dyDescent="0.3">
      <c r="A11" s="18"/>
      <c r="B11" s="18"/>
      <c r="C11" s="18"/>
      <c r="D11" s="18"/>
      <c r="E11" s="18"/>
      <c r="F11" s="18"/>
      <c r="G11" s="18"/>
    </row>
    <row r="12" spans="1:8" x14ac:dyDescent="0.3">
      <c r="A12" s="18"/>
      <c r="B12" s="20" t="s">
        <v>74</v>
      </c>
      <c r="C12" s="42">
        <f>AVERAGE(C5:F5)</f>
        <v>5</v>
      </c>
      <c r="D12" s="18"/>
      <c r="E12" s="18"/>
      <c r="F12" s="18"/>
      <c r="G12" s="18"/>
    </row>
    <row r="13" spans="1:8" x14ac:dyDescent="0.3">
      <c r="A13" s="18"/>
      <c r="B13" s="20" t="s">
        <v>73</v>
      </c>
      <c r="C13" s="42">
        <f>AVERAGE(C6:F6)</f>
        <v>6.25</v>
      </c>
      <c r="D13" s="18"/>
      <c r="E13" s="18"/>
      <c r="F13" s="18"/>
      <c r="G13" s="18"/>
    </row>
    <row r="14" spans="1:8" x14ac:dyDescent="0.3">
      <c r="A14" s="18"/>
      <c r="B14" s="18"/>
      <c r="C14" s="18"/>
      <c r="D14" s="18"/>
      <c r="E14" s="18"/>
      <c r="F14" s="18"/>
      <c r="G14" s="18"/>
    </row>
    <row r="15" spans="1:8" x14ac:dyDescent="0.3">
      <c r="A15" s="43"/>
      <c r="B15" s="44" t="s">
        <v>70</v>
      </c>
      <c r="C15" s="44" t="s">
        <v>71</v>
      </c>
      <c r="D15" s="44" t="s">
        <v>75</v>
      </c>
      <c r="E15" s="44" t="s">
        <v>76</v>
      </c>
      <c r="F15" s="44" t="s">
        <v>77</v>
      </c>
      <c r="G15" s="18"/>
    </row>
    <row r="16" spans="1:8" x14ac:dyDescent="0.3">
      <c r="A16" s="43"/>
      <c r="B16" s="45">
        <v>2</v>
      </c>
      <c r="C16" s="45">
        <v>3</v>
      </c>
      <c r="D16" s="45">
        <f>B16-C12</f>
        <v>-3</v>
      </c>
      <c r="E16" s="45">
        <f>C16-C13</f>
        <v>-3.25</v>
      </c>
      <c r="F16" s="45">
        <f>D16*E16</f>
        <v>9.75</v>
      </c>
      <c r="G16" s="18"/>
    </row>
    <row r="17" spans="1:7" x14ac:dyDescent="0.3">
      <c r="A17" s="43"/>
      <c r="B17" s="45">
        <v>4</v>
      </c>
      <c r="C17" s="45">
        <v>7</v>
      </c>
      <c r="D17" s="45">
        <f>B17-C12</f>
        <v>-1</v>
      </c>
      <c r="E17" s="45">
        <f>C17-C13</f>
        <v>0.75</v>
      </c>
      <c r="F17" s="45">
        <f t="shared" ref="F17:F19" si="0">D17*E17</f>
        <v>-0.75</v>
      </c>
      <c r="G17" s="18"/>
    </row>
    <row r="18" spans="1:7" x14ac:dyDescent="0.3">
      <c r="A18" s="43"/>
      <c r="B18" s="45">
        <v>6</v>
      </c>
      <c r="C18" s="45">
        <v>5</v>
      </c>
      <c r="D18" s="45">
        <f>B18-C12</f>
        <v>1</v>
      </c>
      <c r="E18" s="45">
        <f>C18-C13</f>
        <v>-1.25</v>
      </c>
      <c r="F18" s="45">
        <f t="shared" si="0"/>
        <v>-1.25</v>
      </c>
      <c r="G18" s="18"/>
    </row>
    <row r="19" spans="1:7" x14ac:dyDescent="0.3">
      <c r="A19" s="43"/>
      <c r="B19" s="45">
        <v>8</v>
      </c>
      <c r="C19" s="45">
        <v>10</v>
      </c>
      <c r="D19" s="45">
        <f>B19-C12</f>
        <v>3</v>
      </c>
      <c r="E19" s="45">
        <f>C19-C13</f>
        <v>3.75</v>
      </c>
      <c r="F19" s="45">
        <f t="shared" si="0"/>
        <v>11.25</v>
      </c>
      <c r="G19" s="18"/>
    </row>
    <row r="20" spans="1:7" x14ac:dyDescent="0.3">
      <c r="A20" s="18"/>
      <c r="B20" s="18"/>
      <c r="C20" s="18"/>
      <c r="D20" s="18"/>
      <c r="E20" s="18"/>
      <c r="F20" s="18"/>
      <c r="G20" s="18"/>
    </row>
    <row r="21" spans="1:7" x14ac:dyDescent="0.3">
      <c r="A21" s="18"/>
      <c r="B21" s="18"/>
      <c r="C21" s="18"/>
      <c r="D21" s="18"/>
      <c r="E21" s="18"/>
      <c r="F21" s="18"/>
      <c r="G21" s="18"/>
    </row>
    <row r="22" spans="1:7" x14ac:dyDescent="0.3">
      <c r="A22" s="18"/>
      <c r="B22" s="20" t="s">
        <v>78</v>
      </c>
      <c r="C22" s="42">
        <f>SUMPRODUCT(F16:F19)</f>
        <v>19</v>
      </c>
      <c r="D22" s="18"/>
      <c r="E22" s="18"/>
      <c r="F22" s="18"/>
      <c r="G22" s="18"/>
    </row>
    <row r="23" spans="1:7" x14ac:dyDescent="0.3">
      <c r="A23" s="18"/>
      <c r="B23" s="18" t="s">
        <v>79</v>
      </c>
      <c r="C23" s="46">
        <f>C22/(4-1)</f>
        <v>6.333333333333333</v>
      </c>
      <c r="D23" s="18"/>
      <c r="E23" s="18"/>
      <c r="F23" s="18"/>
      <c r="G23" s="18"/>
    </row>
    <row r="24" spans="1:7" x14ac:dyDescent="0.3">
      <c r="A24" s="18"/>
      <c r="B24" s="18"/>
      <c r="C24" s="18"/>
      <c r="D24" s="18"/>
      <c r="E24" s="18"/>
      <c r="F24" s="18"/>
      <c r="G24" s="18"/>
    </row>
    <row r="25" spans="1:7" x14ac:dyDescent="0.3">
      <c r="A25" s="18"/>
      <c r="B25" s="16" t="s">
        <v>138</v>
      </c>
      <c r="C25" s="18"/>
      <c r="D25" s="18"/>
      <c r="E25" s="18"/>
      <c r="F25" s="18"/>
      <c r="G25" s="1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DA864-72CF-4E66-BF57-4345F9FC76A7}">
  <dimension ref="A3:H27"/>
  <sheetViews>
    <sheetView showGridLines="0" topLeftCell="A4" workbookViewId="0">
      <selection activeCell="H18" sqref="H18"/>
    </sheetView>
  </sheetViews>
  <sheetFormatPr defaultRowHeight="14.4" x14ac:dyDescent="0.3"/>
  <sheetData>
    <row r="3" spans="1:8" x14ac:dyDescent="0.3">
      <c r="A3" s="6" t="s">
        <v>80</v>
      </c>
      <c r="B3" s="6" t="s">
        <v>81</v>
      </c>
      <c r="C3" s="6"/>
      <c r="D3" s="6"/>
      <c r="E3" s="6"/>
      <c r="F3" s="6"/>
      <c r="G3" s="6"/>
      <c r="H3" s="7"/>
    </row>
    <row r="4" spans="1:8" x14ac:dyDescent="0.3">
      <c r="A4" s="2"/>
      <c r="B4" s="2"/>
      <c r="C4" s="2"/>
      <c r="D4" s="2"/>
      <c r="E4" s="2"/>
      <c r="F4" s="2"/>
      <c r="G4" s="2"/>
    </row>
    <row r="5" spans="1:8" x14ac:dyDescent="0.3">
      <c r="A5" s="2"/>
      <c r="B5" s="5" t="s">
        <v>82</v>
      </c>
      <c r="C5" s="5">
        <v>10</v>
      </c>
      <c r="D5" s="5">
        <v>20</v>
      </c>
      <c r="E5" s="5">
        <v>30</v>
      </c>
      <c r="F5" s="5">
        <v>40</v>
      </c>
      <c r="G5" s="5">
        <v>50</v>
      </c>
    </row>
    <row r="6" spans="1:8" x14ac:dyDescent="0.3">
      <c r="A6" s="2"/>
      <c r="B6" s="5" t="s">
        <v>83</v>
      </c>
      <c r="C6" s="5">
        <v>8</v>
      </c>
      <c r="D6" s="5">
        <v>14</v>
      </c>
      <c r="E6" s="5">
        <v>18</v>
      </c>
      <c r="F6" s="5">
        <v>24</v>
      </c>
      <c r="G6" s="5">
        <v>28</v>
      </c>
    </row>
    <row r="10" spans="1:8" x14ac:dyDescent="0.3">
      <c r="A10" s="9" t="s">
        <v>2</v>
      </c>
      <c r="B10" s="36" t="s">
        <v>82</v>
      </c>
      <c r="C10" s="36" t="s">
        <v>83</v>
      </c>
      <c r="D10" s="36" t="s">
        <v>84</v>
      </c>
      <c r="E10" s="36" t="s">
        <v>85</v>
      </c>
      <c r="F10" s="36" t="s">
        <v>86</v>
      </c>
    </row>
    <row r="11" spans="1:8" x14ac:dyDescent="0.3">
      <c r="A11" s="11"/>
      <c r="B11" s="37">
        <v>10</v>
      </c>
      <c r="C11" s="37">
        <v>8</v>
      </c>
      <c r="D11" s="37">
        <f>B11-C18</f>
        <v>-20</v>
      </c>
      <c r="E11" s="37">
        <f>C11-C19</f>
        <v>-10.399999999999999</v>
      </c>
      <c r="F11" s="37">
        <f>D11*E11</f>
        <v>207.99999999999997</v>
      </c>
    </row>
    <row r="12" spans="1:8" x14ac:dyDescent="0.3">
      <c r="A12" s="11"/>
      <c r="B12" s="37">
        <v>20</v>
      </c>
      <c r="C12" s="37">
        <v>14</v>
      </c>
      <c r="D12" s="37">
        <f>B12-C18</f>
        <v>-10</v>
      </c>
      <c r="E12" s="37">
        <f>C12-C19</f>
        <v>-4.3999999999999986</v>
      </c>
      <c r="F12" s="37">
        <f t="shared" ref="F12:F15" si="0">D12*E12</f>
        <v>43.999999999999986</v>
      </c>
    </row>
    <row r="13" spans="1:8" x14ac:dyDescent="0.3">
      <c r="A13" s="11"/>
      <c r="B13" s="37">
        <v>30</v>
      </c>
      <c r="C13" s="37">
        <v>18</v>
      </c>
      <c r="D13" s="37">
        <f>B13-C18</f>
        <v>0</v>
      </c>
      <c r="E13" s="37">
        <f>C13-C19</f>
        <v>-0.39999999999999858</v>
      </c>
      <c r="F13" s="37">
        <f t="shared" si="0"/>
        <v>0</v>
      </c>
    </row>
    <row r="14" spans="1:8" x14ac:dyDescent="0.3">
      <c r="A14" s="11"/>
      <c r="B14" s="37">
        <v>40</v>
      </c>
      <c r="C14" s="37">
        <v>24</v>
      </c>
      <c r="D14" s="37">
        <f>B14-C18</f>
        <v>10</v>
      </c>
      <c r="E14" s="37">
        <f>C14-C19</f>
        <v>5.6000000000000014</v>
      </c>
      <c r="F14" s="37">
        <f t="shared" si="0"/>
        <v>56.000000000000014</v>
      </c>
    </row>
    <row r="15" spans="1:8" x14ac:dyDescent="0.3">
      <c r="A15" s="11"/>
      <c r="B15" s="37">
        <v>50</v>
      </c>
      <c r="C15" s="37">
        <v>28</v>
      </c>
      <c r="D15" s="37">
        <f>B15-C18</f>
        <v>20</v>
      </c>
      <c r="E15" s="37">
        <f>C15-C19</f>
        <v>9.6000000000000014</v>
      </c>
      <c r="F15" s="37">
        <f t="shared" si="0"/>
        <v>192.00000000000003</v>
      </c>
    </row>
    <row r="16" spans="1:8" x14ac:dyDescent="0.3">
      <c r="A16" s="11"/>
      <c r="B16" s="11"/>
      <c r="C16" s="11"/>
      <c r="D16" s="11"/>
      <c r="E16" s="11"/>
      <c r="F16" s="11"/>
    </row>
    <row r="17" spans="1:6" x14ac:dyDescent="0.3">
      <c r="A17" s="11"/>
      <c r="B17" s="11"/>
      <c r="C17" s="11"/>
      <c r="D17" s="11"/>
      <c r="E17" s="11"/>
      <c r="F17" s="11"/>
    </row>
    <row r="18" spans="1:6" x14ac:dyDescent="0.3">
      <c r="A18" s="11"/>
      <c r="B18" s="47" t="s">
        <v>87</v>
      </c>
      <c r="C18" s="48">
        <f>AVERAGE(B11:B15)</f>
        <v>30</v>
      </c>
      <c r="D18" s="11"/>
      <c r="E18" s="11"/>
      <c r="F18" s="11"/>
    </row>
    <row r="19" spans="1:6" x14ac:dyDescent="0.3">
      <c r="A19" s="11"/>
      <c r="B19" s="47" t="s">
        <v>88</v>
      </c>
      <c r="C19" s="48">
        <f>AVERAGE(C11:C15)</f>
        <v>18.399999999999999</v>
      </c>
      <c r="D19" s="11"/>
      <c r="E19" s="11"/>
      <c r="F19" s="11"/>
    </row>
    <row r="20" spans="1:6" x14ac:dyDescent="0.3">
      <c r="A20" s="11"/>
      <c r="B20" s="47" t="s">
        <v>89</v>
      </c>
      <c r="C20" s="48">
        <f>SUMPRODUCT(F11:F15)</f>
        <v>500</v>
      </c>
      <c r="D20" s="11"/>
      <c r="E20" s="11"/>
      <c r="F20" s="11"/>
    </row>
    <row r="21" spans="1:6" x14ac:dyDescent="0.3">
      <c r="A21" s="11"/>
      <c r="B21" s="47" t="s">
        <v>90</v>
      </c>
      <c r="C21" s="48">
        <f>SQRT(1000)</f>
        <v>31.622776601683793</v>
      </c>
      <c r="D21" s="11"/>
      <c r="E21" s="11"/>
      <c r="F21" s="11"/>
    </row>
    <row r="22" spans="1:6" x14ac:dyDescent="0.3">
      <c r="A22" s="11"/>
      <c r="B22" s="47" t="s">
        <v>91</v>
      </c>
      <c r="C22" s="48">
        <f>SQRT(260.8)</f>
        <v>16.149303390549079</v>
      </c>
      <c r="D22" s="11"/>
      <c r="E22" s="11"/>
      <c r="F22" s="11"/>
    </row>
    <row r="23" spans="1:6" x14ac:dyDescent="0.3">
      <c r="A23" s="11"/>
      <c r="B23" s="9"/>
      <c r="C23" s="9"/>
      <c r="D23" s="11"/>
      <c r="E23" s="11"/>
      <c r="F23" s="11"/>
    </row>
    <row r="24" spans="1:6" x14ac:dyDescent="0.3">
      <c r="A24" s="11"/>
      <c r="B24" s="11"/>
      <c r="C24" s="11"/>
      <c r="D24" s="11"/>
      <c r="E24" s="11"/>
      <c r="F24" s="11"/>
    </row>
    <row r="25" spans="1:6" x14ac:dyDescent="0.3">
      <c r="A25" s="11"/>
      <c r="B25" s="10" t="s">
        <v>92</v>
      </c>
      <c r="C25" s="11"/>
      <c r="D25" s="11"/>
      <c r="E25" s="11"/>
      <c r="F25" s="11"/>
    </row>
    <row r="26" spans="1:6" x14ac:dyDescent="0.3">
      <c r="A26" s="11"/>
      <c r="B26" s="11"/>
      <c r="C26" s="11"/>
      <c r="D26" s="11"/>
      <c r="E26" s="11"/>
      <c r="F26" s="11"/>
    </row>
    <row r="27" spans="1:6" x14ac:dyDescent="0.3">
      <c r="A27" s="11"/>
      <c r="B27" s="47" t="s">
        <v>93</v>
      </c>
      <c r="C27" s="48">
        <f>ROUNDUP(C20/(C21*C22),3)</f>
        <v>0.98</v>
      </c>
      <c r="D27" s="11"/>
      <c r="E27" s="11"/>
      <c r="F27" s="1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6BC91-FB8C-4B4C-895C-9A704F9CEE17}">
  <dimension ref="A3:H11"/>
  <sheetViews>
    <sheetView showGridLines="0" workbookViewId="0">
      <selection activeCell="F13" sqref="F13"/>
    </sheetView>
  </sheetViews>
  <sheetFormatPr defaultRowHeight="14.4" x14ac:dyDescent="0.3"/>
  <cols>
    <col min="8" max="8" width="9.77734375" customWidth="1"/>
  </cols>
  <sheetData>
    <row r="3" spans="1:8" x14ac:dyDescent="0.3">
      <c r="A3" s="6" t="s">
        <v>94</v>
      </c>
      <c r="B3" s="6" t="s">
        <v>95</v>
      </c>
      <c r="C3" s="6"/>
      <c r="D3" s="6"/>
      <c r="E3" s="6"/>
      <c r="F3" s="7"/>
      <c r="G3" s="7"/>
      <c r="H3" s="7"/>
    </row>
    <row r="4" spans="1:8" x14ac:dyDescent="0.3">
      <c r="A4" s="7"/>
      <c r="B4" s="6" t="s">
        <v>96</v>
      </c>
      <c r="C4" s="6"/>
      <c r="D4" s="6"/>
      <c r="E4" s="6"/>
      <c r="F4" s="7"/>
      <c r="G4" s="7"/>
      <c r="H4" s="7"/>
    </row>
    <row r="6" spans="1:8" x14ac:dyDescent="0.3">
      <c r="B6" s="4" t="s">
        <v>97</v>
      </c>
      <c r="C6" s="4">
        <v>150</v>
      </c>
      <c r="D6" s="4">
        <v>160</v>
      </c>
      <c r="E6" s="4">
        <v>165</v>
      </c>
      <c r="F6" s="4">
        <v>170</v>
      </c>
      <c r="G6" s="4">
        <v>180</v>
      </c>
    </row>
    <row r="7" spans="1:8" x14ac:dyDescent="0.3">
      <c r="B7" s="4" t="s">
        <v>98</v>
      </c>
      <c r="C7" s="4">
        <v>50</v>
      </c>
      <c r="D7" s="4">
        <v>55</v>
      </c>
      <c r="E7" s="4">
        <v>58</v>
      </c>
      <c r="F7" s="4">
        <v>62</v>
      </c>
      <c r="G7" s="4">
        <v>70</v>
      </c>
    </row>
    <row r="10" spans="1:8" x14ac:dyDescent="0.3">
      <c r="A10" s="9" t="s">
        <v>2</v>
      </c>
      <c r="B10" s="49" t="s">
        <v>99</v>
      </c>
      <c r="C10" s="49"/>
      <c r="D10" s="50">
        <f>CORREL(C6:G6,C7:G7)</f>
        <v>0.99218437024647965</v>
      </c>
    </row>
    <row r="11" spans="1:8" x14ac:dyDescent="0.3">
      <c r="A11" s="11"/>
      <c r="B11" s="49"/>
      <c r="C11" s="49"/>
      <c r="D11" s="9"/>
    </row>
  </sheetData>
  <mergeCells count="1">
    <mergeCell ref="B10:C1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C2A23-8460-4FD1-888D-4FE718B23319}">
  <dimension ref="A3:K17"/>
  <sheetViews>
    <sheetView showGridLines="0" workbookViewId="0">
      <selection activeCell="I15" sqref="I15"/>
    </sheetView>
  </sheetViews>
  <sheetFormatPr defaultRowHeight="14.4" x14ac:dyDescent="0.3"/>
  <sheetData>
    <row r="3" spans="1:11" x14ac:dyDescent="0.3">
      <c r="A3" s="6" t="s">
        <v>100</v>
      </c>
      <c r="B3" s="6" t="s">
        <v>101</v>
      </c>
      <c r="C3" s="6"/>
      <c r="D3" s="6"/>
      <c r="E3" s="6"/>
      <c r="F3" s="6"/>
      <c r="G3" s="6"/>
      <c r="H3" s="7"/>
      <c r="I3" s="7"/>
      <c r="J3" s="7"/>
      <c r="K3" s="7"/>
    </row>
    <row r="4" spans="1:11" x14ac:dyDescent="0.3">
      <c r="A4" s="7"/>
      <c r="B4" s="6" t="s">
        <v>102</v>
      </c>
      <c r="C4" s="6"/>
      <c r="D4" s="6"/>
      <c r="E4" s="6"/>
      <c r="F4" s="6"/>
      <c r="G4" s="6"/>
      <c r="H4" s="7"/>
      <c r="I4" s="7"/>
      <c r="J4" s="7"/>
      <c r="K4" s="7"/>
    </row>
    <row r="6" spans="1:11" x14ac:dyDescent="0.3">
      <c r="B6" s="5" t="s">
        <v>70</v>
      </c>
      <c r="C6" s="5">
        <v>1</v>
      </c>
      <c r="D6" s="5">
        <v>2</v>
      </c>
      <c r="E6" s="5">
        <v>3</v>
      </c>
      <c r="F6" s="5">
        <v>4</v>
      </c>
      <c r="G6" s="5">
        <v>5</v>
      </c>
    </row>
    <row r="7" spans="1:11" x14ac:dyDescent="0.3">
      <c r="B7" s="5" t="s">
        <v>71</v>
      </c>
      <c r="C7" s="5">
        <v>15</v>
      </c>
      <c r="D7" s="5">
        <v>12</v>
      </c>
      <c r="E7" s="5">
        <v>9</v>
      </c>
      <c r="F7" s="5">
        <v>7</v>
      </c>
      <c r="G7" s="5">
        <v>3</v>
      </c>
    </row>
    <row r="10" spans="1:11" x14ac:dyDescent="0.3">
      <c r="A10" s="9" t="s">
        <v>2</v>
      </c>
      <c r="B10" s="9"/>
      <c r="C10" s="9"/>
      <c r="D10" s="9"/>
      <c r="E10" s="9"/>
      <c r="F10" s="11"/>
      <c r="G10" s="11"/>
    </row>
    <row r="11" spans="1:11" x14ac:dyDescent="0.3">
      <c r="A11" s="11"/>
      <c r="B11" s="9" t="s">
        <v>103</v>
      </c>
      <c r="C11" s="9"/>
      <c r="D11" s="9"/>
      <c r="E11" s="9"/>
      <c r="F11" s="11"/>
      <c r="G11" s="11"/>
    </row>
    <row r="12" spans="1:11" x14ac:dyDescent="0.3">
      <c r="A12" s="11"/>
      <c r="B12" s="9" t="s">
        <v>105</v>
      </c>
      <c r="C12" s="9"/>
      <c r="D12" s="9"/>
      <c r="E12" s="9"/>
      <c r="F12" s="11"/>
      <c r="G12" s="11"/>
    </row>
    <row r="13" spans="1:11" x14ac:dyDescent="0.3">
      <c r="A13" s="11"/>
      <c r="B13" s="9"/>
      <c r="C13" s="9"/>
      <c r="D13" s="9"/>
      <c r="E13" s="9"/>
      <c r="F13" s="11"/>
      <c r="G13" s="11"/>
    </row>
    <row r="14" spans="1:11" x14ac:dyDescent="0.3">
      <c r="A14" s="11"/>
      <c r="B14" s="9" t="s">
        <v>106</v>
      </c>
      <c r="C14" s="9"/>
      <c r="D14" s="9"/>
      <c r="E14" s="9"/>
      <c r="F14" s="11"/>
      <c r="G14" s="11"/>
    </row>
    <row r="15" spans="1:11" x14ac:dyDescent="0.3">
      <c r="A15" s="11"/>
      <c r="B15" s="9"/>
      <c r="C15" s="9"/>
      <c r="D15" s="9"/>
      <c r="E15" s="9"/>
      <c r="F15" s="11"/>
      <c r="G15" s="11"/>
    </row>
    <row r="16" spans="1:11" x14ac:dyDescent="0.3">
      <c r="A16" s="11"/>
      <c r="B16" s="9" t="s">
        <v>104</v>
      </c>
      <c r="C16" s="9"/>
      <c r="D16" s="9"/>
      <c r="E16" s="9"/>
      <c r="F16" s="11"/>
      <c r="G16" s="11"/>
    </row>
    <row r="17" spans="1:7" x14ac:dyDescent="0.3">
      <c r="A17" s="11"/>
      <c r="B17" s="11"/>
      <c r="C17" s="11"/>
      <c r="D17" s="11"/>
      <c r="E17" s="11"/>
      <c r="F17" s="11"/>
      <c r="G17" s="1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00F01-45EA-4153-917A-485E13A07A0B}">
  <dimension ref="A3:H33"/>
  <sheetViews>
    <sheetView showGridLines="0" tabSelected="1" workbookViewId="0">
      <selection activeCell="I10" sqref="I10"/>
    </sheetView>
  </sheetViews>
  <sheetFormatPr defaultRowHeight="14.4" x14ac:dyDescent="0.3"/>
  <cols>
    <col min="4" max="4" width="9.88671875" bestFit="1" customWidth="1"/>
  </cols>
  <sheetData>
    <row r="3" spans="1:8" x14ac:dyDescent="0.3">
      <c r="A3" s="6" t="s">
        <v>107</v>
      </c>
      <c r="B3" s="8" t="s">
        <v>108</v>
      </c>
      <c r="C3" s="8"/>
      <c r="D3" s="8"/>
      <c r="E3" s="8"/>
      <c r="F3" s="8"/>
      <c r="G3" s="8"/>
    </row>
    <row r="4" spans="1:8" x14ac:dyDescent="0.3">
      <c r="A4" s="7"/>
      <c r="B4" s="8"/>
      <c r="C4" s="8"/>
      <c r="D4" s="8"/>
      <c r="E4" s="8"/>
      <c r="F4" s="8"/>
      <c r="G4" s="8"/>
    </row>
    <row r="6" spans="1:8" x14ac:dyDescent="0.3">
      <c r="B6" s="4" t="s">
        <v>109</v>
      </c>
      <c r="C6" s="4" t="s">
        <v>110</v>
      </c>
      <c r="D6" s="4" t="s">
        <v>111</v>
      </c>
    </row>
    <row r="7" spans="1:8" x14ac:dyDescent="0.3">
      <c r="B7" s="3">
        <v>1</v>
      </c>
      <c r="C7" s="3">
        <v>8</v>
      </c>
      <c r="D7" s="3">
        <v>6</v>
      </c>
    </row>
    <row r="8" spans="1:8" x14ac:dyDescent="0.3">
      <c r="B8" s="3">
        <v>2</v>
      </c>
      <c r="C8" s="3">
        <v>10</v>
      </c>
      <c r="D8" s="3">
        <v>9</v>
      </c>
    </row>
    <row r="9" spans="1:8" x14ac:dyDescent="0.3">
      <c r="B9" s="3">
        <v>3</v>
      </c>
      <c r="C9" s="3">
        <v>12</v>
      </c>
      <c r="D9" s="3">
        <v>11</v>
      </c>
    </row>
    <row r="10" spans="1:8" x14ac:dyDescent="0.3">
      <c r="B10" s="3">
        <v>4</v>
      </c>
      <c r="C10" s="3">
        <v>9</v>
      </c>
      <c r="D10" s="3">
        <v>8</v>
      </c>
    </row>
    <row r="11" spans="1:8" x14ac:dyDescent="0.3">
      <c r="B11" s="3">
        <v>5</v>
      </c>
      <c r="C11" s="3">
        <v>11</v>
      </c>
      <c r="D11" s="3">
        <v>10</v>
      </c>
    </row>
    <row r="12" spans="1:8" x14ac:dyDescent="0.3">
      <c r="B12" s="1"/>
      <c r="C12" s="1"/>
      <c r="D12" s="1"/>
    </row>
    <row r="14" spans="1:8" x14ac:dyDescent="0.3">
      <c r="A14" s="9" t="s">
        <v>2</v>
      </c>
      <c r="B14" s="11" t="s">
        <v>114</v>
      </c>
      <c r="C14" s="11"/>
      <c r="D14" s="11"/>
      <c r="E14" s="11"/>
      <c r="F14" s="11"/>
      <c r="G14" s="11"/>
      <c r="H14" s="11"/>
    </row>
    <row r="15" spans="1:8" x14ac:dyDescent="0.3">
      <c r="A15" s="11"/>
      <c r="B15" s="13" t="s">
        <v>112</v>
      </c>
      <c r="C15" s="35">
        <f>AVERAGE(C7:C11)</f>
        <v>10</v>
      </c>
      <c r="D15" s="11"/>
      <c r="E15" s="11"/>
      <c r="F15" s="11"/>
      <c r="G15" s="11"/>
      <c r="H15" s="11"/>
    </row>
    <row r="16" spans="1:8" x14ac:dyDescent="0.3">
      <c r="A16" s="11"/>
      <c r="B16" s="13" t="s">
        <v>113</v>
      </c>
      <c r="C16" s="35">
        <f>AVERAGE(D7:D11)</f>
        <v>8.8000000000000007</v>
      </c>
      <c r="D16" s="11"/>
      <c r="E16" s="11"/>
      <c r="F16" s="11"/>
      <c r="G16" s="11"/>
      <c r="H16" s="11"/>
    </row>
    <row r="17" spans="1:8" x14ac:dyDescent="0.3">
      <c r="A17" s="11"/>
      <c r="B17" s="11"/>
      <c r="C17" s="11"/>
      <c r="D17" s="11"/>
      <c r="E17" s="11"/>
      <c r="F17" s="11"/>
      <c r="G17" s="11"/>
      <c r="H17" s="11"/>
    </row>
    <row r="18" spans="1:8" x14ac:dyDescent="0.3">
      <c r="A18" s="11"/>
      <c r="B18" s="36" t="s">
        <v>82</v>
      </c>
      <c r="C18" s="36" t="s">
        <v>83</v>
      </c>
      <c r="D18" s="36" t="s">
        <v>115</v>
      </c>
      <c r="E18" s="36" t="s">
        <v>116</v>
      </c>
      <c r="F18" s="36" t="s">
        <v>86</v>
      </c>
      <c r="G18" s="11"/>
      <c r="H18" s="11"/>
    </row>
    <row r="19" spans="1:8" x14ac:dyDescent="0.3">
      <c r="A19" s="11"/>
      <c r="B19" s="37">
        <v>8</v>
      </c>
      <c r="C19" s="37">
        <v>6</v>
      </c>
      <c r="D19" s="37">
        <f>B19-C15</f>
        <v>-2</v>
      </c>
      <c r="E19" s="37">
        <f>C19-C16</f>
        <v>-2.8000000000000007</v>
      </c>
      <c r="F19" s="37">
        <f>D19*E19</f>
        <v>5.6000000000000014</v>
      </c>
      <c r="G19" s="11"/>
      <c r="H19" s="11"/>
    </row>
    <row r="20" spans="1:8" x14ac:dyDescent="0.3">
      <c r="A20" s="11"/>
      <c r="B20" s="37">
        <v>10</v>
      </c>
      <c r="C20" s="37">
        <v>9</v>
      </c>
      <c r="D20" s="37">
        <f>B20-C15</f>
        <v>0</v>
      </c>
      <c r="E20" s="37">
        <f>C20-C16</f>
        <v>0.19999999999999929</v>
      </c>
      <c r="F20" s="37">
        <f t="shared" ref="F20:F23" si="0">D20*E20</f>
        <v>0</v>
      </c>
      <c r="G20" s="11"/>
      <c r="H20" s="11"/>
    </row>
    <row r="21" spans="1:8" x14ac:dyDescent="0.3">
      <c r="A21" s="11"/>
      <c r="B21" s="37">
        <v>12</v>
      </c>
      <c r="C21" s="37">
        <v>11</v>
      </c>
      <c r="D21" s="37">
        <f>B21-C15</f>
        <v>2</v>
      </c>
      <c r="E21" s="37">
        <f>C21-C16</f>
        <v>2.1999999999999993</v>
      </c>
      <c r="F21" s="37">
        <f t="shared" si="0"/>
        <v>4.3999999999999986</v>
      </c>
      <c r="G21" s="11"/>
      <c r="H21" s="11"/>
    </row>
    <row r="22" spans="1:8" x14ac:dyDescent="0.3">
      <c r="A22" s="11"/>
      <c r="B22" s="37">
        <v>9</v>
      </c>
      <c r="C22" s="37">
        <v>8</v>
      </c>
      <c r="D22" s="37">
        <f>B22-C15</f>
        <v>-1</v>
      </c>
      <c r="E22" s="37">
        <f>C22-C16</f>
        <v>-0.80000000000000071</v>
      </c>
      <c r="F22" s="37">
        <f t="shared" si="0"/>
        <v>0.80000000000000071</v>
      </c>
      <c r="G22" s="11"/>
      <c r="H22" s="11"/>
    </row>
    <row r="23" spans="1:8" x14ac:dyDescent="0.3">
      <c r="A23" s="11"/>
      <c r="B23" s="37">
        <v>11</v>
      </c>
      <c r="C23" s="37">
        <v>10</v>
      </c>
      <c r="D23" s="37">
        <f>B23-C15</f>
        <v>1</v>
      </c>
      <c r="E23" s="37">
        <f>C23-C16</f>
        <v>1.1999999999999993</v>
      </c>
      <c r="F23" s="37">
        <f t="shared" si="0"/>
        <v>1.1999999999999993</v>
      </c>
      <c r="G23" s="11"/>
      <c r="H23" s="11"/>
    </row>
    <row r="24" spans="1:8" x14ac:dyDescent="0.3">
      <c r="A24" s="11"/>
      <c r="B24" s="11"/>
      <c r="C24" s="11"/>
      <c r="D24" s="11"/>
      <c r="E24" s="11"/>
      <c r="F24" s="11"/>
      <c r="G24" s="11"/>
      <c r="H24" s="11"/>
    </row>
    <row r="25" spans="1:8" x14ac:dyDescent="0.3">
      <c r="A25" s="11"/>
      <c r="B25" s="11"/>
      <c r="C25" s="11"/>
      <c r="D25" s="11"/>
      <c r="E25" s="11"/>
      <c r="F25" s="11"/>
      <c r="G25" s="11"/>
      <c r="H25" s="11"/>
    </row>
    <row r="26" spans="1:8" x14ac:dyDescent="0.3">
      <c r="A26" s="11"/>
      <c r="B26" s="13" t="s">
        <v>117</v>
      </c>
      <c r="C26" s="35">
        <f>SUMPRODUCT(F19:F23)</f>
        <v>12</v>
      </c>
      <c r="D26" s="11"/>
      <c r="E26" s="11"/>
      <c r="F26" s="11"/>
      <c r="G26" s="11"/>
      <c r="H26" s="11"/>
    </row>
    <row r="27" spans="1:8" x14ac:dyDescent="0.3">
      <c r="A27" s="11"/>
      <c r="B27" s="13" t="s">
        <v>118</v>
      </c>
      <c r="C27" s="35">
        <f>_xlfn.COVARIANCE.S(B19:B23,C19:C23)</f>
        <v>3</v>
      </c>
      <c r="D27" s="11"/>
      <c r="E27" s="11"/>
      <c r="F27" s="11"/>
      <c r="G27" s="11"/>
      <c r="H27" s="11"/>
    </row>
    <row r="28" spans="1:8" x14ac:dyDescent="0.3">
      <c r="A28" s="11"/>
      <c r="B28" s="13" t="s">
        <v>119</v>
      </c>
      <c r="C28" s="38">
        <f>CORREL(B19:B23,C19:C23)</f>
        <v>0.98639392383214364</v>
      </c>
      <c r="D28" s="11"/>
      <c r="E28" s="11"/>
      <c r="F28" s="11"/>
      <c r="G28" s="11"/>
      <c r="H28" s="11"/>
    </row>
    <row r="29" spans="1:8" x14ac:dyDescent="0.3">
      <c r="A29" s="11"/>
      <c r="B29" s="11"/>
      <c r="C29" s="11"/>
      <c r="D29" s="11"/>
      <c r="E29" s="11"/>
      <c r="F29" s="11"/>
      <c r="G29" s="11"/>
      <c r="H29" s="11"/>
    </row>
    <row r="30" spans="1:8" x14ac:dyDescent="0.3">
      <c r="A30" s="11"/>
      <c r="B30" s="51" t="s">
        <v>5</v>
      </c>
      <c r="C30" s="11"/>
      <c r="D30" s="11"/>
      <c r="E30" s="11"/>
      <c r="F30" s="11"/>
      <c r="G30" s="11"/>
      <c r="H30" s="11"/>
    </row>
    <row r="31" spans="1:8" x14ac:dyDescent="0.3">
      <c r="A31" s="11"/>
      <c r="B31" s="13" t="s">
        <v>59</v>
      </c>
      <c r="C31" s="9" t="s">
        <v>120</v>
      </c>
      <c r="D31" s="11"/>
      <c r="E31" s="11"/>
      <c r="F31" s="11"/>
      <c r="G31" s="11"/>
      <c r="H31" s="11"/>
    </row>
    <row r="32" spans="1:8" x14ac:dyDescent="0.3">
      <c r="A32" s="11"/>
      <c r="B32" s="13" t="s">
        <v>59</v>
      </c>
      <c r="C32" s="9" t="s">
        <v>121</v>
      </c>
      <c r="D32" s="11"/>
      <c r="E32" s="11"/>
      <c r="F32" s="11"/>
      <c r="G32" s="11"/>
      <c r="H32" s="11"/>
    </row>
    <row r="33" spans="1:8" x14ac:dyDescent="0.3">
      <c r="A33" s="11"/>
      <c r="B33" s="13" t="s">
        <v>59</v>
      </c>
      <c r="C33" s="11" t="s">
        <v>122</v>
      </c>
      <c r="D33" s="11"/>
      <c r="E33" s="11"/>
      <c r="F33" s="11"/>
      <c r="G33" s="11"/>
      <c r="H33" s="11"/>
    </row>
  </sheetData>
  <mergeCells count="1">
    <mergeCell ref="B3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Q.1</vt:lpstr>
      <vt:lpstr>Q.2</vt:lpstr>
      <vt:lpstr>Q.3</vt:lpstr>
      <vt:lpstr>Q.4</vt:lpstr>
      <vt:lpstr>Q.5</vt:lpstr>
      <vt:lpstr>Q.6</vt:lpstr>
      <vt:lpstr>Q.7</vt:lpstr>
      <vt:lpstr>Q.8</vt:lpstr>
      <vt:lpstr>Q.9</vt:lpstr>
      <vt:lpstr>Q.10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 Singh</dc:creator>
  <cp:lastModifiedBy>Rahul Kumar</cp:lastModifiedBy>
  <dcterms:created xsi:type="dcterms:W3CDTF">2026-02-02T10:18:09Z</dcterms:created>
  <dcterms:modified xsi:type="dcterms:W3CDTF">2026-03-14T10:18:13Z</dcterms:modified>
</cp:coreProperties>
</file>